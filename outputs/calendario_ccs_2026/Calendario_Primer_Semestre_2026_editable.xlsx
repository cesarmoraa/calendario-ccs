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0665459cb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90c9e6e23d614eee"/>
    <x:sheet xmlns:r="http://schemas.openxmlformats.org/officeDocument/2006/relationships" name="Datos" sheetId="2" r:id="R7b6be1e628444408"/>
    <x:sheet xmlns:r="http://schemas.openxmlformats.org/officeDocument/2006/relationships" name="Vista" sheetId="3" r:id="R6562a4deb0ba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9FBFF"/>
      <x:name val="Carlito"/>
    </x:font>
    <x:font>
      <x:b/>
      <x:sz val="11"/>
      <x:color rgb="F9FBFF"/>
      <x:name val="Carlito"/>
    </x:font>
    <x:font>
      <x:b/>
      <x:sz val="18"/>
      <x:color rgb="F9FBFF"/>
      <x:name val="Carlito"/>
    </x:font>
    <x:font>
      <x:sz val="11"/>
      <x:color rgb="001B3A"/>
      <x:name val="Carlito"/>
    </x:font>
    <x:font>
      <x:sz val="11"/>
      <x:color rgb="00A0D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01B3A"/>
      </x:patternFill>
    </x:fill>
    <x:fill>
      <x:patternFill patternType="solid">
        <x:fgColor rgb="00A0DF"/>
      </x:patternFill>
    </x:fill>
    <x:fill>
      <x:patternFill patternType="solid">
        <x:fgColor rgb="E4EDF5"/>
      </x:patternFill>
    </x:fill>
  </x:fills>
  <x:borders count="6">
    <x:border/>
    <x:border/>
    <x:border>
      <x:bottom>
        <x:color rgb="C3D4E6"/>
      </x:bottom>
    </x:border>
    <x:border>
      <x:bottom>
        <x:color rgb="C3D4E6"/>
      </x:bottom>
    </x:border>
    <x:border>
      <x:bottom style="thin">
        <x:color rgb="C3D4E6"/>
      </x:bottom>
    </x:border>
    <x:border>
      <x:bottom style="thin">
        <x:color rgb="C3D4E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e6a90c2d44f8d" /><Relationship Type="http://schemas.openxmlformats.org/officeDocument/2006/relationships/theme" Target="/xl/theme/theme1.xml" Id="Rc4367a70dffa4eb5" /><Relationship Type="http://schemas.openxmlformats.org/officeDocument/2006/relationships/sharedStrings" Target="/xl/sharedStrings.xml" Id="Rcfa2d6245ce144ea" /><Relationship Type="http://schemas.openxmlformats.org/officeDocument/2006/relationships/worksheet" Target="/xl/worksheets/sheet1.xml" Id="R90c9e6e23d614eee" /><Relationship Type="http://schemas.openxmlformats.org/officeDocument/2006/relationships/worksheet" Target="/xl/worksheets/sheet2.xml" Id="R7b6be1e628444408" /><Relationship Type="http://schemas.openxmlformats.org/officeDocument/2006/relationships/worksheet" Target="/xl/worksheets/sheet3.xml" Id="R6562a4deb0ba4b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110.70999908447266" hidden="0" customWidth="1"/>
    <x:col min="3" max="3" width="16.43000030517578" hidden="0" customWidth="1"/>
    <x:col min="4" max="4" width="16.43000030517578" hidden="0" customWidth="1"/>
    <x:col min="5" max="5" width="16.43000030517578" hidden="0" customWidth="1"/>
    <x:col min="6" max="6" width="16.43000030517578" hidden="0" customWidth="1"/>
  </x:cols>
  <x:sheetData>
    <x:row r="1">
      <x:c r="A1" s="8" t="str">
        <x:v>Calendario CCS 2026 · fuente editable</x:v>
      </x:c>
      <x:c r="B1" s="8"/>
      <x:c r="C1" s="8"/>
      <x:c r="D1" s="8"/>
      <x:c r="E1" s="8"/>
      <x:c r="F1" s="8"/>
    </x:row>
    <x:row r="3">
      <x:c r="A3" s="18" t="str">
        <x:v>Paso</x:v>
      </x:c>
      <x:c r="B3" s="18" t="str">
        <x:v>Detalle</x:v>
      </x:c>
    </x:row>
    <x:row r="4">
      <x:c r="A4" s="19" t="str">
        <x:v>1</x:v>
      </x:c>
      <x:c r="B4" s="19" t="str">
        <x:v>Edita la hoja Datos. Esa es la fuente para futuras versiones del HTML.</x:v>
      </x:c>
    </x:row>
    <x:row r="5">
      <x:c r="A5" s="19" t="str">
        <x:v>2</x:v>
      </x:c>
      <x:c r="B5" s="19" t="str">
        <x:v>Puedes cambiar rutas, fechas, perfiles, kilometraje y links de Strava, Maps o Waze.</x:v>
      </x:c>
    </x:row>
    <x:row r="6">
      <x:c r="A6" s="19" t="str">
        <x:v>3</x:v>
      </x:c>
      <x:c r="B6" s="19" t="str">
        <x:v>La hoja Vista replica el calendario en formato visual y no necesita edicion manual.</x:v>
      </x:c>
    </x:row>
    <x:row r="7">
      <x:c r="A7" s="19" t="str">
        <x:v>4</x:v>
      </x:c>
      <x:c r="B7" s="19" t="str">
        <x:v>Si luego quieres un HTML actualizado, se puede regenerar desde este archivo sin rehacer el calendario.</x:v>
      </x:c>
    </x:row>
    <x:row r="8">
      <x:c r="A8" s="19" t="str">
        <x:v>5</x:v>
      </x:c>
      <x:c r="B8" s="19" t="str">
        <x:v>Salidas cargadas: 31</x:v>
      </x:c>
    </x:row>
    <x:row r="9">
      <x:c r="A9" s="19"/>
      <x:c r="B9" s="19"/>
    </x:row>
    <x:row r="10">
      <x:c r="A10" s="19" t="str">
        <x:v>Meses disponibles</x:v>
      </x:c>
      <x:c r="B10" s="19" t="str">
        <x:v>Enero, Febrero, Marzo, Abril, Mayo, Junio</x:v>
      </x:c>
    </x:row>
    <x:row r="11">
      <x:c r="A11" s="19" t="str">
        <x:v>Inicios</x:v>
      </x:c>
      <x:c r="B11" s="19" t="str">
        <x:v>Aurora, Coda, Francisco Mostazal, Kross, La Dormida, Mall Sport, Mc Chamisero, Quilapilun, Shell Ruta 68, Tiltil, Veramonte, Viaje Colchagua: 3 dias, Viaje al Norte, Vizcachas, Viña undurraga</x:v>
      </x:c>
    </x:row>
    <x:row r="12">
      <x:c r="A12" s="19" t="str">
        <x:v>Perfiles</x:v>
      </x:c>
      <x:c r="B12" s="19" t="str">
        <x:v>Alta Montaña, Fondo, Media montaña, Montaña</x:v>
      </x:c>
    </x:row>
    <x:row r="13">
      <x:c r="A13" s="24" t="str">
        <x:v>Archivo fuente</x:v>
      </x:c>
      <x:c r="B13" s="24" t="str">
        <x:v>Calendario_Primer_Semestre_2026_miniapp_WIDE.html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859999656677246" hidden="0" customWidth="1"/>
    <x:col min="2" max="2" width="9.289999961853027" hidden="0" customWidth="1"/>
    <x:col min="3" max="3" width="15" hidden="0" customWidth="1"/>
    <x:col min="4" max="4" width="19.290000915527344" hidden="0" customWidth="1"/>
    <x:col min="5" max="5" width="59.290000915527344" hidden="0" customWidth="1"/>
    <x:col min="6" max="6" width="18.56999969482422" hidden="0" customWidth="1"/>
    <x:col min="7" max="7" width="12.859999656677246" hidden="0" customWidth="1"/>
    <x:col min="8" max="8" width="12.859999656677246" hidden="0" customWidth="1"/>
    <x:col min="9" max="9" width="15" hidden="0" customWidth="1"/>
    <x:col min="10" max="10" width="15" hidden="0" customWidth="1"/>
    <x:col min="11" max="11" width="8.569999694824219" hidden="0" customWidth="1"/>
    <x:col min="12" max="12" width="42.13999938964844" hidden="0" customWidth="1"/>
    <x:col min="13" max="13" width="42.13999938964844" hidden="0" customWidth="1"/>
    <x:col min="14" max="14" width="42.13999938964844" hidden="0" customWidth="1"/>
  </x:cols>
  <x:sheetData>
    <x:row r="1">
      <x:c r="A1" s="14" t="str">
        <x:v>Fecha</x:v>
      </x:c>
      <x:c r="B1" s="14" t="str">
        <x:v>Semana</x:v>
      </x:c>
      <x:c r="C1" s="14" t="str">
        <x:v>Tipo Salida</x:v>
      </x:c>
      <x:c r="D1" s="14" t="str">
        <x:v>Inicio</x:v>
      </x:c>
      <x:c r="E1" s="14" t="str">
        <x:v>Ruta</x:v>
      </x:c>
      <x:c r="F1" s="14" t="str">
        <x:v>Perfil</x:v>
      </x:c>
      <x:c r="G1" s="14" t="str">
        <x:v>Dist (km)</x:v>
      </x:c>
      <x:c r="H1" s="14" t="str">
        <x:v>Ganancia Alt</x:v>
      </x:c>
      <x:c r="I1" s="14" t="str">
        <x:v>Tiempo Total Aprox</x:v>
      </x:c>
      <x:c r="J1" s="14" t="str">
        <x:v>Temp prom 2025 (°C)</x:v>
      </x:c>
      <x:c r="K1" s="14" t="str">
        <x:v>Mes</x:v>
      </x:c>
      <x:c r="L1" s="14" t="str">
        <x:v>StravaURL</x:v>
      </x:c>
      <x:c r="M1" s="14" t="str">
        <x:v>MapsURL</x:v>
      </x:c>
      <x:c r="N1" s="14" t="str">
        <x:v>WazeURL</x:v>
      </x:c>
    </x:row>
    <x:row r="2">
      <x:c r="A2" s="28" t="str">
        <x:v>03/01/26</x:v>
      </x:c>
      <x:c r="B2" s="28" t="str">
        <x:v>01</x:v>
      </x:c>
      <x:c r="C2" s="28" t="str">
        <x:v>Tradicional</x:v>
      </x:c>
      <x:c r="D2" s="28" t="str">
        <x:v>Aurora</x:v>
      </x:c>
      <x:c r="E2" s="28" t="str">
        <x:v>Aurora - Ibacache - San Jeronimo(Y) (bis)</x:v>
      </x:c>
      <x:c r="F2" s="28" t="str">
        <x:v>Media montaña</x:v>
      </x:c>
      <x:c r="G2" s="28" t="n">
        <x:v>132.8</x:v>
      </x:c>
      <x:c r="H2" s="28" t="n">
        <x:v>1188</x:v>
      </x:c>
      <x:c r="I2" s="28" t="str">
        <x:v>4h 58m</x:v>
      </x:c>
      <x:c r="J2" s="28" t="n">
        <x:v>25</x:v>
      </x:c>
      <x:c r="K2" s="28" t="str">
        <x:v>1</x:v>
      </x:c>
      <x:c r="L2" s="28" t="str">
        <x:v>https://www.strava.com/routes/3350886847118088952</x:v>
      </x:c>
      <x:c r="M2" s="28" t="str">
        <x:v>https://www.google.com/maps?q=-33.432740,-71.030750</x:v>
      </x:c>
      <x:c r="N2" s="28" t="str">
        <x:v>https://waze.com/ul?ll=-33.432740,-71.030750&amp;navigate=yes</x:v>
      </x:c>
    </x:row>
    <x:row r="3">
      <x:c r="A3" s="28" t="str">
        <x:v>10/01/26</x:v>
      </x:c>
      <x:c r="B3" s="28" t="str">
        <x:v>02</x:v>
      </x:c>
      <x:c r="C3" s="28" t="str">
        <x:v>Tradicional</x:v>
      </x:c>
      <x:c r="D3" s="28" t="str">
        <x:v>Quilapilun</x:v>
      </x:c>
      <x:c r="E3" s="28" t="str">
        <x:v>Quilapilun - Chacabuco - Bateas - Rungue - Til Til - Quilapilun</x:v>
      </x:c>
      <x:c r="F3" s="28" t="str">
        <x:v>Media montaña</x:v>
      </x:c>
      <x:c r="G3" s="28" t="n">
        <x:v>105.5</x:v>
      </x:c>
      <x:c r="H3" s="28" t="n">
        <x:v>1412</x:v>
      </x:c>
      <x:c r="I3" s="28" t="str">
        <x:v>4h 42m</x:v>
      </x:c>
      <x:c r="J3" s="28" t="n">
        <x:v>28</x:v>
      </x:c>
      <x:c r="K3" s="28" t="str">
        <x:v>1</x:v>
      </x:c>
      <x:c r="L3" s="28" t="str">
        <x:v>https://www.strava.com/routes/3361191594009946606</x:v>
      </x:c>
      <x:c r="M3" s="28" t="str">
        <x:v>https://www.google.com/maps?q=-33.094860,-70.695180</x:v>
      </x:c>
      <x:c r="N3" s="28" t="str">
        <x:v>https://waze.com/ul?ll=-33.094860,-70.695180&amp;navigate=yes</x:v>
      </x:c>
    </x:row>
    <x:row r="4">
      <x:c r="A4" s="28" t="str">
        <x:v>17/01/26</x:v>
      </x:c>
      <x:c r="B4" s="28" t="str">
        <x:v>03</x:v>
      </x:c>
      <x:c r="C4" s="28" t="str">
        <x:v>Tradicional</x:v>
      </x:c>
      <x:c r="D4" s="28" t="str">
        <x:v>Kross</x:v>
      </x:c>
      <x:c r="E4" s="28" t="str">
        <x:v>Kross - Ibacache - casa blanca - zapata - Kross</x:v>
      </x:c>
      <x:c r="F4" s="28" t="str">
        <x:v>Media montaña</x:v>
      </x:c>
      <x:c r="G4" s="28" t="n">
        <x:v>133</x:v>
      </x:c>
      <x:c r="H4" s="28" t="n">
        <x:v>1186</x:v>
      </x:c>
      <x:c r="I4" s="28" t="str">
        <x:v>4h 56m</x:v>
      </x:c>
      <x:c r="J4" s="28" t="n">
        <x:v>25</x:v>
      </x:c>
      <x:c r="K4" s="28" t="str">
        <x:v>1</x:v>
      </x:c>
      <x:c r="L4" s="28" t="str">
        <x:v>https://www.strava.com/routes/3437110365576045568</x:v>
      </x:c>
      <x:c r="M4" s="28" t="str">
        <x:v>https://www.google.com/maps?q=-33.363390,-71.153970</x:v>
      </x:c>
      <x:c r="N4" s="28" t="str">
        <x:v>https://waze.com/ul?ll=-33.363390,-71.153970&amp;navigate=yes</x:v>
      </x:c>
    </x:row>
    <x:row r="5">
      <x:c r="A5" s="28" t="str">
        <x:v>24/01/26</x:v>
      </x:c>
      <x:c r="B5" s="28" t="str">
        <x:v>04</x:v>
      </x:c>
      <x:c r="C5" s="28" t="str">
        <x:v>Tradicional</x:v>
      </x:c>
      <x:c r="D5" s="28" t="str">
        <x:v>Vizcachas</x:v>
      </x:c>
      <x:c r="E5" s="28" t="str">
        <x:v>Vizcachas - Melosas helipuesto (Bis)</x:v>
      </x:c>
      <x:c r="F5" s="28" t="str">
        <x:v>Media montaña</x:v>
      </x:c>
      <x:c r="G5" s="28" t="n">
        <x:v>113.6</x:v>
      </x:c>
      <x:c r="H5" s="28" t="n">
        <x:v>1479</x:v>
      </x:c>
      <x:c r="I5" s="28" t="str">
        <x:v>4h 45m</x:v>
      </x:c>
      <x:c r="J5" s="28" t="n">
        <x:v>28</x:v>
      </x:c>
      <x:c r="K5" s="28" t="str">
        <x:v>1</x:v>
      </x:c>
      <x:c r="L5" s="28" t="str">
        <x:v>https://www.strava.com/routes/3414553136020338090</x:v>
      </x:c>
      <x:c r="M5" s="28" t="str">
        <x:v>https://www.google.com/maps?q=-33.598290,-70.525080</x:v>
      </x:c>
      <x:c r="N5" s="28" t="str">
        <x:v>https://waze.com/ul?ll=-33.598290,-70.525080&amp;navigate=yes</x:v>
      </x:c>
    </x:row>
    <x:row r="6">
      <x:c r="A6" s="28" t="str">
        <x:v>31/01/26</x:v>
      </x:c>
      <x:c r="B6" s="28" t="str">
        <x:v>05</x:v>
      </x:c>
      <x:c r="C6" s="28" t="str">
        <x:v>Tradicional</x:v>
      </x:c>
      <x:c r="D6" s="28" t="str">
        <x:v>Aurora</x:v>
      </x:c>
      <x:c r="E6" s="28" t="str">
        <x:v>Aurora - Cuncumen (Bis)</x:v>
      </x:c>
      <x:c r="F6" s="28" t="str">
        <x:v>Fondo</x:v>
      </x:c>
      <x:c r="G6" s="28" t="n">
        <x:v>137.9</x:v>
      </x:c>
      <x:c r="H6" s="28" t="n">
        <x:v>940</x:v>
      </x:c>
      <x:c r="I6" s="28" t="str">
        <x:v>4h 46m</x:v>
      </x:c>
      <x:c r="J6" s="28" t="n">
        <x:v>26</x:v>
      </x:c>
      <x:c r="K6" s="28" t="str">
        <x:v>1</x:v>
      </x:c>
      <x:c r="L6" s="28" t="str">
        <x:v>https://www.strava.com/routes/3333265148908755658</x:v>
      </x:c>
      <x:c r="M6" s="28" t="str">
        <x:v>https://www.google.com/maps?q=-33.432740,-71.030750</x:v>
      </x:c>
      <x:c r="N6" s="28" t="str">
        <x:v>https://waze.com/ul?ll=-33.432740,-71.030750&amp;navigate=yes</x:v>
      </x:c>
    </x:row>
    <x:row r="7">
      <x:c r="A7" s="28" t="str">
        <x:v>07/02/26</x:v>
      </x:c>
      <x:c r="B7" s="28" t="str">
        <x:v>06</x:v>
      </x:c>
      <x:c r="C7" s="28" t="str">
        <x:v>Tradicional</x:v>
      </x:c>
      <x:c r="D7" s="28" t="str">
        <x:v>Aurora</x:v>
      </x:c>
      <x:c r="E7" s="28" t="str">
        <x:v>Aurora - doble Lo Prado - doble Barriga</x:v>
      </x:c>
      <x:c r="F7" s="28" t="str">
        <x:v>Media montaña</x:v>
      </x:c>
      <x:c r="G7" s="28" t="n">
        <x:v>133.53</x:v>
      </x:c>
      <x:c r="H7" s="28" t="n">
        <x:v>1166</x:v>
      </x:c>
      <x:c r="I7" s="28" t="str">
        <x:v>4h 58m</x:v>
      </x:c>
      <x:c r="J7" s="28" t="n">
        <x:v>18.4</x:v>
      </x:c>
      <x:c r="K7" s="28" t="str">
        <x:v>2</x:v>
      </x:c>
      <x:c r="L7" s="28" t="str">
        <x:v>https://www.strava.com/routes/3437954682669553650</x:v>
      </x:c>
      <x:c r="M7" s="28" t="str">
        <x:v>https://www.google.com/maps?q=-33.432740,-71.030750</x:v>
      </x:c>
      <x:c r="N7" s="28" t="str">
        <x:v>https://waze.com/ul?ll=-33.432740,-71.030750&amp;navigate=yes</x:v>
      </x:c>
    </x:row>
    <x:row r="8">
      <x:c r="A8" s="28" t="str">
        <x:v>14/02/26</x:v>
      </x:c>
      <x:c r="B8" s="28" t="str">
        <x:v>07</x:v>
      </x:c>
      <x:c r="C8" s="28" t="str">
        <x:v>Tradicional</x:v>
      </x:c>
      <x:c r="D8" s="28" t="str">
        <x:v>Quilapilun</x:v>
      </x:c>
      <x:c r="E8" s="28" t="str">
        <x:v>Quilapilun - Til til - Caleu - cumbre Dormida - Quilapilun</x:v>
      </x:c>
      <x:c r="F8" s="28" t="str">
        <x:v>Media montaña</x:v>
      </x:c>
      <x:c r="G8" s="28" t="n">
        <x:v>106.38</x:v>
      </x:c>
      <x:c r="H8" s="28" t="n">
        <x:v>1199</x:v>
      </x:c>
      <x:c r="I8" s="28" t="str">
        <x:v>4h 6m</x:v>
      </x:c>
      <x:c r="J8" s="28" t="n">
        <x:v>18.4</x:v>
      </x:c>
      <x:c r="K8" s="28" t="str">
        <x:v>2</x:v>
      </x:c>
      <x:c r="L8" s="28" t="str">
        <x:v>https://www.strava.com/routes/2893591328570391102</x:v>
      </x:c>
      <x:c r="M8" s="28" t="str">
        <x:v>https://www.google.com/maps?q=-33.094860,-70.695180</x:v>
      </x:c>
      <x:c r="N8" s="28" t="str">
        <x:v>https://waze.com/ul?ll=-33.094860,-70.695180&amp;navigate=yes</x:v>
      </x:c>
    </x:row>
    <x:row r="9">
      <x:c r="A9" s="28" t="str">
        <x:v>21/02/26</x:v>
      </x:c>
      <x:c r="B9" s="28" t="str">
        <x:v>08</x:v>
      </x:c>
      <x:c r="C9" s="28" t="str">
        <x:v>Tradicional</x:v>
      </x:c>
      <x:c r="D9" s="28" t="str">
        <x:v>Coda</x:v>
      </x:c>
      <x:c r="E9" s="28" t="str">
        <x:v>Coda - Colliguay</x:v>
      </x:c>
      <x:c r="F9" s="28" t="str">
        <x:v>Montaña</x:v>
      </x:c>
      <x:c r="G9" s="28" t="n">
        <x:v>116.27</x:v>
      </x:c>
      <x:c r="H9" s="28" t="n">
        <x:v>2005</x:v>
      </x:c>
      <x:c r="I9" s="28" t="str">
        <x:v>4h 25m</x:v>
      </x:c>
      <x:c r="J9" s="28" t="n">
        <x:v>18.4</x:v>
      </x:c>
      <x:c r="K9" s="28" t="str">
        <x:v>2</x:v>
      </x:c>
      <x:c r="L9" s="28" t="str">
        <x:v>https://www.strava.com/routes/3371266037396733478</x:v>
      </x:c>
      <x:c r="M9" s="28" t="str">
        <x:v>https://www.google.com/maps?q=-33.301150,-71.410140</x:v>
      </x:c>
      <x:c r="N9" s="28" t="str">
        <x:v>https://waze.com/ul?ll=-33.301150,-71.410140&amp;navigate=yes</x:v>
      </x:c>
    </x:row>
    <x:row r="10">
      <x:c r="A10" s="28" t="str">
        <x:v>27/02/26</x:v>
      </x:c>
      <x:c r="B10" s="28" t="str">
        <x:v>09</x:v>
      </x:c>
      <x:c r="C10" s="28" t="str">
        <x:v>Paseo</x:v>
      </x:c>
      <x:c r="D10" s="28" t="str">
        <x:v>Mall Sport</x:v>
      </x:c>
      <x:c r="E10" s="28" t="str">
        <x:v>Farellones Full Moon + tres Valles</x:v>
      </x:c>
      <x:c r="F10" s="28" t="str">
        <x:v>Montaña</x:v>
      </x:c>
      <x:c r="G10" s="28" t="n">
        <x:v>32.96</x:v>
      </x:c>
      <x:c r="H10" s="28" t="n">
        <x:v>1670</x:v>
      </x:c>
      <x:c r="I10" s="28" t="str">
        <x:v>1h 44m</x:v>
      </x:c>
      <x:c r="J10" s="28" t="str"/>
      <x:c r="K10" s="28" t="str">
        <x:v>2</x:v>
      </x:c>
      <x:c r="L10" s="28" t="str">
        <x:v>https://www.strava.com/routes/3437970659683128532</x:v>
      </x:c>
      <x:c r="M10" s="28" t="str">
        <x:v>https://www.google.com/maps?q=-33.370260,-70.507820</x:v>
      </x:c>
      <x:c r="N10" s="28" t="str">
        <x:v>https://waze.com/ul?ll=-33.370260,-70.507820&amp;navigate=yes</x:v>
      </x:c>
    </x:row>
    <x:row r="11">
      <x:c r="A11" s="28" t="str">
        <x:v>28/02/26</x:v>
      </x:c>
      <x:c r="B11" s="28" t="str">
        <x:v>09</x:v>
      </x:c>
      <x:c r="C11" s="28" t="str">
        <x:v>Paseo</x:v>
      </x:c>
      <x:c r="D11" s="28" t="str">
        <x:v>Mall Sport</x:v>
      </x:c>
      <x:c r="E11" s="28" t="str">
        <x:v>Farellones Full Moon + tres Valles</x:v>
      </x:c>
      <x:c r="F11" s="28" t="str">
        <x:v>Montaña</x:v>
      </x:c>
      <x:c r="G11" s="28" t="n">
        <x:v>32.96</x:v>
      </x:c>
      <x:c r="H11" s="28" t="n">
        <x:v>1670</x:v>
      </x:c>
      <x:c r="I11" s="28" t="str">
        <x:v>1h 44m</x:v>
      </x:c>
      <x:c r="J11" s="28" t="n">
        <x:v>18.4</x:v>
      </x:c>
      <x:c r="K11" s="28" t="str">
        <x:v>2</x:v>
      </x:c>
      <x:c r="L11" s="28" t="str">
        <x:v>https://www.strava.com/routes/3437970659683128532</x:v>
      </x:c>
      <x:c r="M11" s="28" t="str">
        <x:v>https://www.google.com/maps?q=-33.370260,-70.507820</x:v>
      </x:c>
      <x:c r="N11" s="28" t="str">
        <x:v>https://waze.com/ul?ll=-33.370260,-70.507820&amp;navigate=yes</x:v>
      </x:c>
    </x:row>
    <x:row r="12">
      <x:c r="A12" s="28" t="str">
        <x:v>07/03/26</x:v>
      </x:c>
      <x:c r="B12" s="28" t="str">
        <x:v>10</x:v>
      </x:c>
      <x:c r="C12" s="28" t="str">
        <x:v>Tradicional</x:v>
      </x:c>
      <x:c r="D12" s="28" t="str">
        <x:v>Kross</x:v>
      </x:c>
      <x:c r="E12" s="28" t="str">
        <x:v>Kross - Pangue - Ibacache (GFC)</x:v>
      </x:c>
      <x:c r="F12" s="28" t="str">
        <x:v>Fondo</x:v>
      </x:c>
      <x:c r="G12" s="28" t="n">
        <x:v>122.05</x:v>
      </x:c>
      <x:c r="H12" s="28" t="n">
        <x:v>1064</x:v>
      </x:c>
      <x:c r="I12" s="28" t="str">
        <x:v>4h 36m</x:v>
      </x:c>
      <x:c r="J12" s="28" t="n">
        <x:v>22</x:v>
      </x:c>
      <x:c r="K12" s="28" t="str">
        <x:v>3</x:v>
      </x:c>
      <x:c r="L12" s="28" t="str">
        <x:v>https://www.strava.com/routes/3158400013423630470</x:v>
      </x:c>
      <x:c r="M12" s="28" t="str">
        <x:v>https://www.google.com/maps?q=-33.363390,-71.153970</x:v>
      </x:c>
      <x:c r="N12" s="28" t="str">
        <x:v>https://waze.com/ul?ll=-33.363390,-71.153970&amp;navigate=yes</x:v>
      </x:c>
    </x:row>
    <x:row r="13">
      <x:c r="A13" s="28" t="str">
        <x:v>14/03/26</x:v>
      </x:c>
      <x:c r="B13" s="28" t="str">
        <x:v>11</x:v>
      </x:c>
      <x:c r="C13" s="28" t="str">
        <x:v>Tradicional</x:v>
      </x:c>
      <x:c r="D13" s="28" t="str">
        <x:v>Mc Chamisero</x:v>
      </x:c>
      <x:c r="E13" s="28" t="str">
        <x:v>Mc Chamisero - Til Til - Cumbre La Dormida (Bis)</x:v>
      </x:c>
      <x:c r="F13" s="28" t="str">
        <x:v>Media montaña</x:v>
      </x:c>
      <x:c r="G13" s="28" t="n">
        <x:v>136.4</x:v>
      </x:c>
      <x:c r="H13" s="28" t="n">
        <x:v>1118</x:v>
      </x:c>
      <x:c r="I13" s="28" t="str">
        <x:v>5h 02m</x:v>
      </x:c>
      <x:c r="J13" s="28" t="n">
        <x:v>20</x:v>
      </x:c>
      <x:c r="K13" s="28" t="str">
        <x:v>3</x:v>
      </x:c>
      <x:c r="L13" s="28" t="str">
        <x:v>https://www.strava.com/routes/3343553426172514788</x:v>
      </x:c>
      <x:c r="M13" s="28" t="str">
        <x:v>https://www.google.com/maps?q=-33.305240,-70.664670</x:v>
      </x:c>
      <x:c r="N13" s="28" t="str">
        <x:v>https://waze.com/ul?ll=-33.305240,-70.664670&amp;navigate=yes</x:v>
      </x:c>
    </x:row>
    <x:row r="14">
      <x:c r="A14" s="28" t="str">
        <x:v>21/03/26</x:v>
      </x:c>
      <x:c r="B14" s="28" t="str">
        <x:v>12</x:v>
      </x:c>
      <x:c r="C14" s="28" t="str">
        <x:v>Tradicional</x:v>
      </x:c>
      <x:c r="D14" s="28" t="str">
        <x:v>Quilapilun</x:v>
      </x:c>
      <x:c r="E14" s="28" t="str">
        <x:v>Portillo </x:v>
      </x:c>
      <x:c r="F14" s="28" t="str">
        <x:v>Alta Montaña</x:v>
      </x:c>
      <x:c r="G14" s="28" t="n">
        <x:v>118.11</x:v>
      </x:c>
      <x:c r="H14" s="28" t="n">
        <x:v>3650</x:v>
      </x:c>
      <x:c r="I14" s="28" t="str">
        <x:v>4h 29m</x:v>
      </x:c>
      <x:c r="J14" s="28" t="n">
        <x:v>19</x:v>
      </x:c>
      <x:c r="K14" s="28" t="str">
        <x:v>3</x:v>
      </x:c>
      <x:c r="L14" s="28" t="str">
        <x:v>https://www.strava.com/routes/3335601587537110884</x:v>
      </x:c>
      <x:c r="M14" s="28" t="str">
        <x:v>https://www.google.com/maps?q=-33.094860,-70.695180</x:v>
      </x:c>
      <x:c r="N14" s="28" t="str">
        <x:v>https://waze.com/ul?ll=-33.094860,-70.695180&amp;navigate=yes</x:v>
      </x:c>
    </x:row>
    <x:row r="15">
      <x:c r="A15" s="28" t="str">
        <x:v>28/03/26</x:v>
      </x:c>
      <x:c r="B15" s="28" t="str">
        <x:v>13</x:v>
      </x:c>
      <x:c r="C15" s="28" t="str">
        <x:v>Tradicional</x:v>
      </x:c>
      <x:c r="D15" s="28" t="str">
        <x:v>Vizcachas</x:v>
      </x:c>
      <x:c r="E15" s="28" t="str">
        <x:v>Vizcachas - Embalse el Yeso (Bis)</x:v>
      </x:c>
      <x:c r="F15" s="28" t="str">
        <x:v>Alta Montaña</x:v>
      </x:c>
      <x:c r="G15" s="28" t="n">
        <x:v>127.5</x:v>
      </x:c>
      <x:c r="H15" s="28" t="n">
        <x:v>2186</x:v>
      </x:c>
      <x:c r="I15" s="28" t="str">
        <x:v>4h 47m</x:v>
      </x:c>
      <x:c r="J15" s="28" t="n">
        <x:v>19</x:v>
      </x:c>
      <x:c r="K15" s="28" t="str">
        <x:v>3</x:v>
      </x:c>
      <x:c r="L15" s="28" t="str">
        <x:v>https://www.strava.com/routes/2934579737217096112</x:v>
      </x:c>
      <x:c r="M15" s="28" t="str">
        <x:v>https://www.google.com/maps?q=-33.598290,-70.525080</x:v>
      </x:c>
      <x:c r="N15" s="28" t="str">
        <x:v>https://waze.com/ul?ll=-33.598290,-70.525080&amp;navigate=yes</x:v>
      </x:c>
    </x:row>
    <x:row r="16">
      <x:c r="A16" s="28" t="str">
        <x:v>03/04/25</x:v>
      </x:c>
      <x:c r="B16" s="28" t="str">
        <x:v>14</x:v>
      </x:c>
      <x:c r="C16" s="28" t="str">
        <x:v>Paseo</x:v>
      </x:c>
      <x:c r="D16" s="28" t="str">
        <x:v>Viaje Colchagua: 3 dias</x:v>
      </x:c>
      <x:c r="E16" s="28" t="str">
        <x:v>Viaje Colchagua: 3 dias</x:v>
      </x:c>
      <x:c r="F16" s="28" t="str"/>
      <x:c r="G16" s="28" t="str">
        <x:v>TBD</x:v>
      </x:c>
      <x:c r="H16" s="28" t="str">
        <x:v>TBD</x:v>
      </x:c>
      <x:c r="I16" s="28" t="str">
        <x:v>TBD</x:v>
      </x:c>
      <x:c r="J16" s="28" t="str"/>
      <x:c r="K16" s="28" t="str">
        <x:v>4</x:v>
      </x:c>
      <x:c r="L16" s="28" t="str"/>
      <x:c r="M16" s="28" t="str"/>
      <x:c r="N16" s="28" t="str"/>
    </x:row>
    <x:row r="17">
      <x:c r="A17" s="28" t="str">
        <x:v>04/04/26</x:v>
      </x:c>
      <x:c r="B17" s="28" t="str">
        <x:v>14</x:v>
      </x:c>
      <x:c r="C17" s="28" t="str">
        <x:v>Paseo</x:v>
      </x:c>
      <x:c r="D17" s="28" t="str">
        <x:v>Viaje Colchagua: 3 dias</x:v>
      </x:c>
      <x:c r="E17" s="28" t="str">
        <x:v>Viaje Colchagua: 3 dias</x:v>
      </x:c>
      <x:c r="F17" s="28" t="str"/>
      <x:c r="G17" s="28" t="str">
        <x:v>TBD</x:v>
      </x:c>
      <x:c r="H17" s="28" t="str">
        <x:v>TBD</x:v>
      </x:c>
      <x:c r="I17" s="28" t="str">
        <x:v>TBD</x:v>
      </x:c>
      <x:c r="J17" s="28" t="n">
        <x:v>18.4</x:v>
      </x:c>
      <x:c r="K17" s="28" t="str">
        <x:v>4</x:v>
      </x:c>
      <x:c r="L17" s="28" t="str"/>
      <x:c r="M17" s="28" t="str"/>
      <x:c r="N17" s="28" t="str"/>
    </x:row>
    <x:row r="18">
      <x:c r="A18" s="28" t="str">
        <x:v>05/04/26</x:v>
      </x:c>
      <x:c r="B18" s="28" t="str">
        <x:v>14</x:v>
      </x:c>
      <x:c r="C18" s="28" t="str">
        <x:v>Paseo</x:v>
      </x:c>
      <x:c r="D18" s="28" t="str">
        <x:v>Viaje Colchagua: 3 dias</x:v>
      </x:c>
      <x:c r="E18" s="28" t="str">
        <x:v>Viaje Colchagua: 3 dias</x:v>
      </x:c>
      <x:c r="F18" s="28" t="str"/>
      <x:c r="G18" s="28" t="str">
        <x:v>TBD</x:v>
      </x:c>
      <x:c r="H18" s="28" t="str">
        <x:v>TBD</x:v>
      </x:c>
      <x:c r="I18" s="28" t="str">
        <x:v>TBD</x:v>
      </x:c>
      <x:c r="J18" s="28" t="str"/>
      <x:c r="K18" s="28" t="str">
        <x:v>4</x:v>
      </x:c>
      <x:c r="L18" s="28" t="str"/>
      <x:c r="M18" s="28" t="str"/>
      <x:c r="N18" s="28" t="str"/>
    </x:row>
    <x:row r="19">
      <x:c r="A19" s="28" t="str">
        <x:v>11/04/26</x:v>
      </x:c>
      <x:c r="B19" s="28" t="str">
        <x:v>15</x:v>
      </x:c>
      <x:c r="C19" s="28" t="str">
        <x:v>Tradicional</x:v>
      </x:c>
      <x:c r="D19" s="28" t="str">
        <x:v>Viña undurraga</x:v>
      </x:c>
      <x:c r="E19" s="28" t="str">
        <x:v>Viña undurraga - Cuesta Chada (Bis)</x:v>
      </x:c>
      <x:c r="F19" s="28" t="str">
        <x:v>Fondo</x:v>
      </x:c>
      <x:c r="G19" s="28" t="n">
        <x:v>120.1</x:v>
      </x:c>
      <x:c r="H19" s="28" t="n">
        <x:v>787</x:v>
      </x:c>
      <x:c r="I19" s="28" t="str">
        <x:v>4h 32m</x:v>
      </x:c>
      <x:c r="J19" s="28" t="n">
        <x:v>18.4</x:v>
      </x:c>
      <x:c r="K19" s="28" t="str">
        <x:v>4</x:v>
      </x:c>
      <x:c r="L19" s="28" t="str">
        <x:v>https://www.strava.com/routes/3421990071423060296</x:v>
      </x:c>
      <x:c r="M19" s="28" t="str">
        <x:v>https://www.google.com/maps?q=-33.646800,-70.885170</x:v>
      </x:c>
      <x:c r="N19" s="28" t="str">
        <x:v>https://waze.com/ul?ll=-33.646800,-70.885170&amp;navigate=yes</x:v>
      </x:c>
    </x:row>
    <x:row r="20">
      <x:c r="A20" s="28" t="str">
        <x:v>18/04/26</x:v>
      </x:c>
      <x:c r="B20" s="28" t="str">
        <x:v>16</x:v>
      </x:c>
      <x:c r="C20" s="28" t="str">
        <x:v>Tradicional</x:v>
      </x:c>
      <x:c r="D20" s="28" t="str">
        <x:v>Aurora</x:v>
      </x:c>
      <x:c r="E20" s="28" t="str">
        <x:v>Aurora - Barriga - Mallarauco - Chorombo alto - Aurora</x:v>
      </x:c>
      <x:c r="F20" s="28" t="str">
        <x:v>Fondo</x:v>
      </x:c>
      <x:c r="G20" s="28" t="n">
        <x:v>112.1</x:v>
      </x:c>
      <x:c r="H20" s="28" t="n">
        <x:v>979</x:v>
      </x:c>
      <x:c r="I20" s="28" t="str">
        <x:v>4h 16m</x:v>
      </x:c>
      <x:c r="J20" s="28" t="n">
        <x:v>18.4</x:v>
      </x:c>
      <x:c r="K20" s="28" t="str">
        <x:v>4</x:v>
      </x:c>
      <x:c r="L20" s="28" t="str">
        <x:v>https://www.strava.com/routes/3384167544915616856</x:v>
      </x:c>
      <x:c r="M20" s="28" t="str">
        <x:v>https://www.google.com/maps?q=-33.432740,-71.030750</x:v>
      </x:c>
      <x:c r="N20" s="28" t="str">
        <x:v>https://waze.com/ul?ll=-33.432740,-71.030750&amp;navigate=yes</x:v>
      </x:c>
    </x:row>
    <x:row r="21">
      <x:c r="A21" s="28" t="str">
        <x:v>25/04/26</x:v>
      </x:c>
      <x:c r="B21" s="28" t="str">
        <x:v>17</x:v>
      </x:c>
      <x:c r="C21" s="28" t="str">
        <x:v>Tradicional</x:v>
      </x:c>
      <x:c r="D21" s="28" t="str">
        <x:v>Francisco Mostazal</x:v>
      </x:c>
      <x:c r="E21" s="28" t="str">
        <x:v>La montaña/OGM - Coya - El acido (Bis)</x:v>
      </x:c>
      <x:c r="F21" s="28" t="str">
        <x:v>Media montaña</x:v>
      </x:c>
      <x:c r="G21" s="28" t="n">
        <x:v>134.8</x:v>
      </x:c>
      <x:c r="H21" s="28" t="n">
        <x:v>1435</x:v>
      </x:c>
      <x:c r="I21" s="28" t="str">
        <x:v>5h 1m</x:v>
      </x:c>
      <x:c r="J21" s="28" t="n">
        <x:v>17</x:v>
      </x:c>
      <x:c r="K21" s="28" t="str">
        <x:v>4</x:v>
      </x:c>
      <x:c r="L21" s="28" t="str">
        <x:v>https://www.strava.com/routes/3437989609682303794</x:v>
      </x:c>
      <x:c r="M21" s="28" t="str">
        <x:v>https://www.google.com/maps?q=-33.965190,-70.687420</x:v>
      </x:c>
      <x:c r="N21" s="28" t="str">
        <x:v>https://waze.com/ul?ll=-33.965190,-70.687420&amp;navigate=yes</x:v>
      </x:c>
    </x:row>
    <x:row r="22">
      <x:c r="A22" s="28" t="str">
        <x:v>02/05/26</x:v>
      </x:c>
      <x:c r="B22" s="28" t="str">
        <x:v>18</x:v>
      </x:c>
      <x:c r="C22" s="28" t="str">
        <x:v>Tradicional</x:v>
      </x:c>
      <x:c r="D22" s="28" t="str">
        <x:v>Tiltil</x:v>
      </x:c>
      <x:c r="E22" s="28" t="str">
        <x:v>Tiltil - Caleu - Quebrada Alvarado - Niño Dios (Bis)</x:v>
      </x:c>
      <x:c r="F22" s="28" t="str">
        <x:v>Alta Montaña</x:v>
      </x:c>
      <x:c r="G22" s="28" t="n">
        <x:v>83.1</x:v>
      </x:c>
      <x:c r="H22" s="28" t="n">
        <x:v>2138</x:v>
      </x:c>
      <x:c r="I22" s="28" t="str">
        <x:v>3h 21m</x:v>
      </x:c>
      <x:c r="J22" s="28" t="n">
        <x:v>18.4</x:v>
      </x:c>
      <x:c r="K22" s="28" t="str">
        <x:v>5</x:v>
      </x:c>
      <x:c r="L22" s="28" t="str">
        <x:v>https://www.strava.com/routes/3221671572641912738</x:v>
      </x:c>
      <x:c r="M22" s="28" t="str">
        <x:v>https://www.google.com/maps?q=-33.113420,-70.927360</x:v>
      </x:c>
      <x:c r="N22" s="28" t="str">
        <x:v>https://waze.com/ul?ll=-33.113420,-70.927360&amp;navigate=yes</x:v>
      </x:c>
    </x:row>
    <x:row r="23">
      <x:c r="A23" s="28" t="str">
        <x:v>09/05/26</x:v>
      </x:c>
      <x:c r="B23" s="28" t="str">
        <x:v>19</x:v>
      </x:c>
      <x:c r="C23" s="28" t="str">
        <x:v>Paseo</x:v>
      </x:c>
      <x:c r="D23" s="28" t="str">
        <x:v>Shell Ruta 68</x:v>
      </x:c>
      <x:c r="E23" s="28" t="str">
        <x:v>Santo Domingo</x:v>
      </x:c>
      <x:c r="F23" s="28" t="str">
        <x:v>Media montaña</x:v>
      </x:c>
      <x:c r="G23" s="28" t="n">
        <x:v>117.5</x:v>
      </x:c>
      <x:c r="H23" s="28" t="n">
        <x:v>1151</x:v>
      </x:c>
      <x:c r="I23" s="28" t="str">
        <x:v>4h 27m</x:v>
      </x:c>
      <x:c r="J23" s="28" t="n">
        <x:v>20</x:v>
      </x:c>
      <x:c r="K23" s="28" t="str">
        <x:v>5</x:v>
      </x:c>
      <x:c r="L23" s="28" t="str">
        <x:v>https://www.strava.com/routes/3365090662552045924</x:v>
      </x:c>
      <x:c r="M23" s="28" t="str">
        <x:v>https://www.google.com/maps?q=-33.440970,-70.841910</x:v>
      </x:c>
      <x:c r="N23" s="28" t="str">
        <x:v>https://waze.com/ul?ll=-33.440970,-70.841910&amp;navigate=yes</x:v>
      </x:c>
    </x:row>
    <x:row r="24">
      <x:c r="A24" s="28" t="str">
        <x:v>16/05/26</x:v>
      </x:c>
      <x:c r="B24" s="28" t="str">
        <x:v>20</x:v>
      </x:c>
      <x:c r="C24" s="28" t="str">
        <x:v>Tradicional</x:v>
      </x:c>
      <x:c r="D24" s="28" t="str">
        <x:v>Vizcachas</x:v>
      </x:c>
      <x:c r="E24" s="28" t="str">
        <x:v>Vizcachas - Lagunillas (Bis)</x:v>
      </x:c>
      <x:c r="F24" s="28" t="str">
        <x:v>Montaña</x:v>
      </x:c>
      <x:c r="G24" s="28" t="n">
        <x:v>98.4</x:v>
      </x:c>
      <x:c r="H24" s="28" t="n">
        <x:v>2062</x:v>
      </x:c>
      <x:c r="I24" s="28" t="str">
        <x:v>3h 50m</x:v>
      </x:c>
      <x:c r="J24" s="28" t="n">
        <x:v>19</x:v>
      </x:c>
      <x:c r="K24" s="28" t="str">
        <x:v>5</x:v>
      </x:c>
      <x:c r="L24" s="28" t="str">
        <x:v>https://www.strava.com/routes/3193905552469891392</x:v>
      </x:c>
      <x:c r="M24" s="28" t="str">
        <x:v>https://www.google.com/maps?q=-33.598290,-70.525080</x:v>
      </x:c>
      <x:c r="N24" s="28" t="str">
        <x:v>https://waze.com/ul?ll=-33.598290,-70.525080&amp;navigate=yes</x:v>
      </x:c>
    </x:row>
    <x:row r="25">
      <x:c r="A25" s="28" t="str">
        <x:v>23/05/26</x:v>
      </x:c>
      <x:c r="B25" s="28" t="str">
        <x:v>21</x:v>
      </x:c>
      <x:c r="C25" s="28" t="str">
        <x:v>Tradicional</x:v>
      </x:c>
      <x:c r="D25" s="28" t="str">
        <x:v>Veramonte</x:v>
      </x:c>
      <x:c r="E25" s="28" t="str">
        <x:v>Veramonte - GFNY</x:v>
      </x:c>
      <x:c r="F25" s="28" t="str">
        <x:v>Media montaña</x:v>
      </x:c>
      <x:c r="G25" s="28" t="n">
        <x:v>116.8</x:v>
      </x:c>
      <x:c r="H25" s="28" t="n">
        <x:v>1431</x:v>
      </x:c>
      <x:c r="I25" s="28" t="str">
        <x:v>4h 26m</x:v>
      </x:c>
      <x:c r="J25" s="28" t="n">
        <x:v>20</x:v>
      </x:c>
      <x:c r="K25" s="28" t="str">
        <x:v>5</x:v>
      </x:c>
      <x:c r="L25" s="28" t="str">
        <x:v>https://www.strava.com/routes/3360094577399793880</x:v>
      </x:c>
      <x:c r="M25" s="28" t="str">
        <x:v>https://www.google.com/maps?q=-33.376380,-71.288210</x:v>
      </x:c>
      <x:c r="N25" s="28" t="str">
        <x:v>https://waze.com/ul?ll=-33.376380,-71.288210&amp;navigate=yes</x:v>
      </x:c>
    </x:row>
    <x:row r="26">
      <x:c r="A26" s="28" t="str">
        <x:v>30/05/26</x:v>
      </x:c>
      <x:c r="B26" s="28" t="str">
        <x:v>22</x:v>
      </x:c>
      <x:c r="C26" s="28" t="str">
        <x:v>Tradicional</x:v>
      </x:c>
      <x:c r="D26" s="28" t="str">
        <x:v>Shell Ruta 68</x:v>
      </x:c>
      <x:c r="E26" s="28" t="str">
        <x:v>Lo Prado - Cuesta Ibacache (Bis)</x:v>
      </x:c>
      <x:c r="F26" s="28" t="str">
        <x:v>Media montaña</x:v>
      </x:c>
      <x:c r="G26" s="28" t="n">
        <x:v>120.3</x:v>
      </x:c>
      <x:c r="H26" s="28" t="n">
        <x:v>1236</x:v>
      </x:c>
      <x:c r="I26" s="28" t="str">
        <x:v>5h 02m</x:v>
      </x:c>
      <x:c r="J26" s="28" t="n">
        <x:v>11</x:v>
      </x:c>
      <x:c r="K26" s="28" t="str">
        <x:v>5</x:v>
      </x:c>
      <x:c r="L26" s="28" t="str">
        <x:v>https://www.strava.com/routes/3071912851729141826</x:v>
      </x:c>
      <x:c r="M26" s="28" t="str">
        <x:v>https://www.google.com/maps?q=-33.440860,-70.841770</x:v>
      </x:c>
      <x:c r="N26" s="28" t="str">
        <x:v>https://waze.com/ul?ll=-33.440860,-70.841770&amp;navigate=yes</x:v>
      </x:c>
    </x:row>
    <x:row r="27">
      <x:c r="A27" s="28" t="str">
        <x:v>06/06/26</x:v>
      </x:c>
      <x:c r="B27" s="28" t="str">
        <x:v>23</x:v>
      </x:c>
      <x:c r="C27" s="28" t="str">
        <x:v>Tradicional</x:v>
      </x:c>
      <x:c r="D27" s="28" t="str">
        <x:v>La Dormida</x:v>
      </x:c>
      <x:c r="E27" s="28" t="str">
        <x:v>La Dormida - Chacabuco</x:v>
      </x:c>
      <x:c r="F27" s="28" t="str">
        <x:v>Montaña</x:v>
      </x:c>
      <x:c r="G27" s="28" t="n">
        <x:v>123.9</x:v>
      </x:c>
      <x:c r="H27" s="28" t="n">
        <x:v>1611</x:v>
      </x:c>
      <x:c r="I27" s="28" t="str">
        <x:v>4h 40m</x:v>
      </x:c>
      <x:c r="J27" s="28" t="n">
        <x:v>18.4</x:v>
      </x:c>
      <x:c r="K27" s="28" t="str">
        <x:v>6</x:v>
      </x:c>
      <x:c r="L27" s="28" t="str">
        <x:v>https://www.strava.com/routes/3102314345119364742</x:v>
      </x:c>
      <x:c r="M27" s="28" t="str">
        <x:v>https://www.google.com/maps?q=-33.011470,-70.706270</x:v>
      </x:c>
      <x:c r="N27" s="28" t="str">
        <x:v>https://waze.com/ul?ll=-33.011470,-70.706270&amp;navigate=yes</x:v>
      </x:c>
    </x:row>
    <x:row r="28">
      <x:c r="A28" s="28" t="str">
        <x:v>13/06/26</x:v>
      </x:c>
      <x:c r="B28" s="28" t="str">
        <x:v>24</x:v>
      </x:c>
      <x:c r="C28" s="28" t="str">
        <x:v>Tradicional</x:v>
      </x:c>
      <x:c r="D28" s="28" t="str">
        <x:v>Coda</x:v>
      </x:c>
      <x:c r="E28" s="28" t="str">
        <x:v>Coda - Las Dichas - Tunquén</x:v>
      </x:c>
      <x:c r="F28" s="28" t="str">
        <x:v>Montaña</x:v>
      </x:c>
      <x:c r="G28" s="28" t="n">
        <x:v>108.4</x:v>
      </x:c>
      <x:c r="H28" s="28" t="n">
        <x:v>1866</x:v>
      </x:c>
      <x:c r="I28" s="28" t="str">
        <x:v>4h 10m</x:v>
      </x:c>
      <x:c r="J28" s="28" t="n">
        <x:v>10</x:v>
      </x:c>
      <x:c r="K28" s="28" t="str">
        <x:v>6</x:v>
      </x:c>
      <x:c r="L28" s="28" t="str">
        <x:v>https://www.strava.com/routes/3437984466678439730</x:v>
      </x:c>
      <x:c r="M28" s="28" t="str">
        <x:v>https://www.google.com/maps?q=-33.301150,-71.410140</x:v>
      </x:c>
      <x:c r="N28" s="28" t="str">
        <x:v>https://waze.com/ul?ll=-33.301150,-71.410140&amp;navigate=yes</x:v>
      </x:c>
    </x:row>
    <x:row r="29">
      <x:c r="A29" s="28" t="str">
        <x:v>20/06/26</x:v>
      </x:c>
      <x:c r="B29" s="28" t="str">
        <x:v>25</x:v>
      </x:c>
      <x:c r="C29" s="28" t="str">
        <x:v>Tradicional</x:v>
      </x:c>
      <x:c r="D29" s="28" t="str">
        <x:v>Mc Chamisero</x:v>
      </x:c>
      <x:c r="E29" s="28" t="str">
        <x:v>Mc Chamisero - Chicauma - Quilapilun (Bis)</x:v>
      </x:c>
      <x:c r="F29" s="28" t="str">
        <x:v>Fondo</x:v>
      </x:c>
      <x:c r="G29" s="28" t="n">
        <x:v>138.3</x:v>
      </x:c>
      <x:c r="H29" s="28" t="n">
        <x:v>496</x:v>
      </x:c>
      <x:c r="I29" s="28" t="str">
        <x:v>5h 8m</x:v>
      </x:c>
      <x:c r="J29" s="28" t="n">
        <x:v>11</x:v>
      </x:c>
      <x:c r="K29" s="28" t="str">
        <x:v>6</x:v>
      </x:c>
      <x:c r="L29" s="28" t="str">
        <x:v>https://www.strava.com/routes/3437995719268011878</x:v>
      </x:c>
      <x:c r="M29" s="28" t="str">
        <x:v>https://www.google.com/maps?q=-33.305240,-70.664670</x:v>
      </x:c>
      <x:c r="N29" s="28" t="str">
        <x:v>https://waze.com/ul?ll=-33.305240,-70.664670&amp;navigate=yes</x:v>
      </x:c>
    </x:row>
    <x:row r="30">
      <x:c r="A30" s="28" t="str">
        <x:v>27/06/26</x:v>
      </x:c>
      <x:c r="B30" s="28" t="str">
        <x:v>26</x:v>
      </x:c>
      <x:c r="C30" s="28" t="str">
        <x:v>Paseo</x:v>
      </x:c>
      <x:c r="D30" s="28" t="str">
        <x:v>Viaje al Norte</x:v>
      </x:c>
      <x:c r="E30" s="28" t="str">
        <x:v>Viaje al Norte</x:v>
      </x:c>
      <x:c r="F30" s="28" t="str"/>
      <x:c r="G30" s="28" t="str">
        <x:v>TBD</x:v>
      </x:c>
      <x:c r="H30" s="28" t="str">
        <x:v>TBD</x:v>
      </x:c>
      <x:c r="I30" s="28" t="str">
        <x:v>TBD</x:v>
      </x:c>
      <x:c r="J30" s="28" t="n">
        <x:v>8</x:v>
      </x:c>
      <x:c r="K30" s="28" t="str">
        <x:v>6</x:v>
      </x:c>
      <x:c r="L30" s="28" t="str"/>
      <x:c r="M30" s="28" t="str"/>
      <x:c r="N30" s="28" t="str"/>
    </x:row>
    <x:row r="31">
      <x:c r="A31" s="28" t="str">
        <x:v>28/06/26</x:v>
      </x:c>
      <x:c r="B31" s="28" t="str">
        <x:v>26</x:v>
      </x:c>
      <x:c r="C31" s="28" t="str">
        <x:v>Paseo</x:v>
      </x:c>
      <x:c r="D31" s="28" t="str">
        <x:v>Viaje al Norte</x:v>
      </x:c>
      <x:c r="E31" s="28" t="str">
        <x:v>Viaje al Norte</x:v>
      </x:c>
      <x:c r="F31" s="28" t="str"/>
      <x:c r="G31" s="28" t="str">
        <x:v>TBD</x:v>
      </x:c>
      <x:c r="H31" s="28" t="str">
        <x:v>TBD</x:v>
      </x:c>
      <x:c r="I31" s="28" t="str">
        <x:v>TBD</x:v>
      </x:c>
      <x:c r="J31" s="28" t="str"/>
      <x:c r="K31" s="28" t="str">
        <x:v>6</x:v>
      </x:c>
      <x:c r="L31" s="28" t="str"/>
      <x:c r="M31" s="28" t="str"/>
      <x:c r="N31" s="28" t="str"/>
    </x:row>
    <x:row r="32">
      <x:c r="A32" s="28" t="str">
        <x:v>29/06/26</x:v>
      </x:c>
      <x:c r="B32" s="28" t="str">
        <x:v>27</x:v>
      </x:c>
      <x:c r="C32" s="28" t="str">
        <x:v>Paseo</x:v>
      </x:c>
      <x:c r="D32" s="28" t="str">
        <x:v>Viaje al Norte</x:v>
      </x:c>
      <x:c r="E32" s="28" t="str">
        <x:v>Viaje al Norte</x:v>
      </x:c>
      <x:c r="F32" s="28" t="str"/>
      <x:c r="G32" s="28" t="str">
        <x:v>TBD</x:v>
      </x:c>
      <x:c r="H32" s="28" t="str">
        <x:v>TBD</x:v>
      </x:c>
      <x:c r="I32" s="28" t="str">
        <x:v>TBD</x:v>
      </x:c>
      <x:c r="J32" s="28" t="str"/>
      <x:c r="K32" s="28" t="str">
        <x:v>6</x:v>
      </x:c>
      <x:c r="L32" s="28" t="str"/>
      <x:c r="M32" s="28" t="str"/>
      <x:c r="N32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859999656677246" hidden="0" customWidth="1"/>
    <x:col min="2" max="2" width="9.289999961853027" hidden="0" customWidth="1"/>
    <x:col min="3" max="3" width="13.569999694824219" hidden="0" customWidth="1"/>
    <x:col min="4" max="4" width="17.860000610351562" hidden="0" customWidth="1"/>
    <x:col min="5" max="5" width="59.290000915527344" hidden="0" customWidth="1"/>
    <x:col min="6" max="6" width="17.860000610351562" hidden="0" customWidth="1"/>
    <x:col min="7" max="7" width="12.140000343322754" hidden="0" customWidth="1"/>
    <x:col min="8" max="8" width="12.140000343322754" hidden="0" customWidth="1"/>
    <x:col min="9" max="9" width="16.43000030517578" hidden="0" customWidth="1"/>
    <x:col min="10" max="10" width="10.710000038146973" hidden="0" customWidth="1"/>
    <x:col min="11" max="11" width="10.710000038146973" hidden="0" customWidth="1"/>
    <x:col min="12" max="12" width="10.710000038146973" hidden="0" customWidth="1"/>
  </x:cols>
  <x:sheetData>
    <x:row r="1">
      <x:c r="A1" s="36" t="str">
        <x:v>Calendario CCS 2026 · 1er semestre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>
      <x:c r="A2" s="40" t="str">
        <x:v>Vista lista para revisar. Edita la hoja Datos para actualizar el contenido.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>
      <x:c r="A4" s="12" t="str">
        <x:v>Indicador</x:v>
      </x:c>
      <x:c r="B4" s="12" t="str">
        <x:v>Formula</x:v>
      </x:c>
      <x:c r="C4" s="12" t="str">
        <x:v>Valor</x:v>
      </x:c>
      <x:c r="D4" s="12" t="str">
        <x:v>Detalle</x:v>
      </x:c>
      <x:c r="F4" s="12" t="str">
        <x:v>Mix perfiles</x:v>
      </x:c>
      <x:c r="G4" s="12" t="str">
        <x:v>Cantidad</x:v>
      </x:c>
      <x:c r="H4" s="12" t="str">
        <x:v>Mes</x:v>
      </x:c>
    </x:row>
    <x:row r="5">
      <x:c r="A5" t="str">
        <x:v>Salidas</x:v>
      </x:c>
      <x:c r="B5" t="str">
        <x:v>Contador</x:v>
      </x:c>
      <x:c r="C5" t="n">
        <x:f>COUNTA(Datos!E2:E32)</x:f>
        <x:v>31</x:v>
      </x:c>
      <x:c r="D5" t="str">
        <x:v>Cantidad total de filas con ruta</x:v>
      </x:c>
      <x:c r="F5" t="str">
        <x:v>Fondo</x:v>
      </x:c>
      <x:c r="G5" t="n">
        <x:f>COUNTIF(Datos!F2:F32,"Fondo")</x:f>
        <x:v>5</x:v>
      </x:c>
      <x:c r="H5" t="str"/>
    </x:row>
    <x:row r="6">
      <x:c r="A6" t="str">
        <x:v>Km acumulados</x:v>
      </x:c>
      <x:c r="B6" t="str">
        <x:v>Suma</x:v>
      </x:c>
      <x:c r="C6" t="n">
        <x:f>SUM(Datos!G2:G32)</x:f>
        <x:v>2822.6600000000003</x:v>
      </x:c>
      <x:c r="D6" t="str">
        <x:v>Suma de Dist (km) numericos</x:v>
      </x:c>
      <x:c r="F6" t="str">
        <x:v>Media montaña</x:v>
      </x:c>
      <x:c r="G6" t="n">
        <x:f>COUNTIF(Datos!F2:F32,"Media montaña")</x:f>
        <x:v>11</x:v>
      </x:c>
      <x:c r="H6" t="str"/>
    </x:row>
    <x:row r="7">
      <x:c r="F7" t="str">
        <x:v>Montaña</x:v>
      </x:c>
      <x:c r="G7" t="n">
        <x:f>COUNTIF(Datos!F2:F32,"Montaña")</x:f>
        <x:v>6</x:v>
      </x:c>
      <x:c r="H7" t="str"/>
    </x:row>
    <x:row r="8">
      <x:c r="F8" t="str">
        <x:v>Alta Montaña</x:v>
      </x:c>
      <x:c r="G8" t="n">
        <x:f>COUNTIF(Datos!F2:F32,"Alta Montaña")</x:f>
        <x:v>3</x:v>
      </x:c>
      <x:c r="H8" t="str"/>
    </x:row>
    <x:row r="10">
      <x:c r="A10" s="14" t="str">
        <x:v>Fecha</x:v>
      </x:c>
      <x:c r="B10" s="14" t="str">
        <x:v>Semana</x:v>
      </x:c>
      <x:c r="C10" s="14" t="str">
        <x:v>Tipo</x:v>
      </x:c>
      <x:c r="D10" s="14" t="str">
        <x:v>Inicio</x:v>
      </x:c>
      <x:c r="E10" s="14" t="str">
        <x:v>Ruta</x:v>
      </x:c>
      <x:c r="F10" s="14" t="str">
        <x:v>Perfil</x:v>
      </x:c>
      <x:c r="G10" s="14" t="str">
        <x:v>Dist (km)</x:v>
      </x:c>
      <x:c r="H10" s="14" t="str">
        <x:v>D+ (m)</x:v>
      </x:c>
      <x:c r="I10" s="14" t="str">
        <x:v>Tiempo Aprox</x:v>
      </x:c>
      <x:c r="J10" s="14" t="str">
        <x:v>Strava</x:v>
      </x:c>
      <x:c r="K10" s="14" t="str">
        <x:v>Maps</x:v>
      </x:c>
      <x:c r="L10" s="14" t="str">
        <x:v>Waze</x:v>
      </x:c>
    </x:row>
    <x:row r="11">
      <x:c r="A11" s="28" t="str">
        <x:v>03/01/26</x:v>
      </x:c>
      <x:c r="B11" s="28" t="str">
        <x:v>01</x:v>
      </x:c>
      <x:c r="C11" s="28" t="str">
        <x:v>Tradicional</x:v>
      </x:c>
      <x:c r="D11" s="28" t="str">
        <x:v>Aurora</x:v>
      </x:c>
      <x:c r="E11" s="28" t="str">
        <x:v>Aurora - Ibacache - San Jeronimo(Y) (bis)</x:v>
      </x:c>
      <x:c r="F11" s="28" t="str">
        <x:v>Media montaña</x:v>
      </x:c>
      <x:c r="G11" s="28" t="n">
        <x:v>132.8</x:v>
      </x:c>
      <x:c r="H11" s="28" t="n">
        <x:v>1188</x:v>
      </x:c>
      <x:c r="I11" s="28" t="str">
        <x:v>4h 58m</x:v>
      </x:c>
      <x:c r="J11" s="48" t="str">
        <x:v>Strava</x:v>
      </x:c>
      <x:c r="K11" s="48" t="str">
        <x:v>Maps</x:v>
      </x:c>
      <x:c r="L11" s="48" t="str">
        <x:v>Waze</x:v>
      </x:c>
    </x:row>
    <x:row r="12">
      <x:c r="A12" s="28" t="str">
        <x:v>10/01/26</x:v>
      </x:c>
      <x:c r="B12" s="28" t="str">
        <x:v>02</x:v>
      </x:c>
      <x:c r="C12" s="28" t="str">
        <x:v>Tradicional</x:v>
      </x:c>
      <x:c r="D12" s="28" t="str">
        <x:v>Quilapilun</x:v>
      </x:c>
      <x:c r="E12" s="28" t="str">
        <x:v>Quilapilun - Chacabuco - Bateas - Rungue - Til Til - Quilapilun</x:v>
      </x:c>
      <x:c r="F12" s="28" t="str">
        <x:v>Media montaña</x:v>
      </x:c>
      <x:c r="G12" s="28" t="n">
        <x:v>105.5</x:v>
      </x:c>
      <x:c r="H12" s="28" t="n">
        <x:v>1412</x:v>
      </x:c>
      <x:c r="I12" s="28" t="str">
        <x:v>4h 42m</x:v>
      </x:c>
      <x:c r="J12" s="48" t="str">
        <x:v>Strava</x:v>
      </x:c>
      <x:c r="K12" s="48" t="str">
        <x:v>Maps</x:v>
      </x:c>
      <x:c r="L12" s="48" t="str">
        <x:v>Waze</x:v>
      </x:c>
    </x:row>
    <x:row r="13">
      <x:c r="A13" s="28" t="str">
        <x:v>17/01/26</x:v>
      </x:c>
      <x:c r="B13" s="28" t="str">
        <x:v>03</x:v>
      </x:c>
      <x:c r="C13" s="28" t="str">
        <x:v>Tradicional</x:v>
      </x:c>
      <x:c r="D13" s="28" t="str">
        <x:v>Kross</x:v>
      </x:c>
      <x:c r="E13" s="28" t="str">
        <x:v>Kross - Ibacache - casa blanca - zapata - Kross</x:v>
      </x:c>
      <x:c r="F13" s="28" t="str">
        <x:v>Media montaña</x:v>
      </x:c>
      <x:c r="G13" s="28" t="n">
        <x:v>133</x:v>
      </x:c>
      <x:c r="H13" s="28" t="n">
        <x:v>1186</x:v>
      </x:c>
      <x:c r="I13" s="28" t="str">
        <x:v>4h 56m</x:v>
      </x:c>
      <x:c r="J13" s="48" t="str">
        <x:v>Strava</x:v>
      </x:c>
      <x:c r="K13" s="48" t="str">
        <x:v>Maps</x:v>
      </x:c>
      <x:c r="L13" s="48" t="str">
        <x:v>Waze</x:v>
      </x:c>
    </x:row>
    <x:row r="14">
      <x:c r="A14" s="28" t="str">
        <x:v>24/01/26</x:v>
      </x:c>
      <x:c r="B14" s="28" t="str">
        <x:v>04</x:v>
      </x:c>
      <x:c r="C14" s="28" t="str">
        <x:v>Tradicional</x:v>
      </x:c>
      <x:c r="D14" s="28" t="str">
        <x:v>Vizcachas</x:v>
      </x:c>
      <x:c r="E14" s="28" t="str">
        <x:v>Vizcachas - Melosas helipuesto (Bis)</x:v>
      </x:c>
      <x:c r="F14" s="28" t="str">
        <x:v>Media montaña</x:v>
      </x:c>
      <x:c r="G14" s="28" t="n">
        <x:v>113.6</x:v>
      </x:c>
      <x:c r="H14" s="28" t="n">
        <x:v>1479</x:v>
      </x:c>
      <x:c r="I14" s="28" t="str">
        <x:v>4h 45m</x:v>
      </x:c>
      <x:c r="J14" s="48" t="str">
        <x:v>Strava</x:v>
      </x:c>
      <x:c r="K14" s="48" t="str">
        <x:v>Maps</x:v>
      </x:c>
      <x:c r="L14" s="48" t="str">
        <x:v>Waze</x:v>
      </x:c>
    </x:row>
    <x:row r="15">
      <x:c r="A15" s="28" t="str">
        <x:v>31/01/26</x:v>
      </x:c>
      <x:c r="B15" s="28" t="str">
        <x:v>05</x:v>
      </x:c>
      <x:c r="C15" s="28" t="str">
        <x:v>Tradicional</x:v>
      </x:c>
      <x:c r="D15" s="28" t="str">
        <x:v>Aurora</x:v>
      </x:c>
      <x:c r="E15" s="28" t="str">
        <x:v>Aurora - Cuncumen (Bis)</x:v>
      </x:c>
      <x:c r="F15" s="28" t="str">
        <x:v>Fondo</x:v>
      </x:c>
      <x:c r="G15" s="28" t="n">
        <x:v>137.9</x:v>
      </x:c>
      <x:c r="H15" s="28" t="n">
        <x:v>940</x:v>
      </x:c>
      <x:c r="I15" s="28" t="str">
        <x:v>4h 46m</x:v>
      </x:c>
      <x:c r="J15" s="48" t="str">
        <x:v>Strava</x:v>
      </x:c>
      <x:c r="K15" s="48" t="str">
        <x:v>Maps</x:v>
      </x:c>
      <x:c r="L15" s="48" t="str">
        <x:v>Waze</x:v>
      </x:c>
    </x:row>
    <x:row r="16">
      <x:c r="A16" s="28" t="str">
        <x:v>07/02/26</x:v>
      </x:c>
      <x:c r="B16" s="28" t="str">
        <x:v>06</x:v>
      </x:c>
      <x:c r="C16" s="28" t="str">
        <x:v>Tradicional</x:v>
      </x:c>
      <x:c r="D16" s="28" t="str">
        <x:v>Aurora</x:v>
      </x:c>
      <x:c r="E16" s="28" t="str">
        <x:v>Aurora - doble Lo Prado - doble Barriga</x:v>
      </x:c>
      <x:c r="F16" s="28" t="str">
        <x:v>Media montaña</x:v>
      </x:c>
      <x:c r="G16" s="28" t="n">
        <x:v>133.53</x:v>
      </x:c>
      <x:c r="H16" s="28" t="n">
        <x:v>1166</x:v>
      </x:c>
      <x:c r="I16" s="28" t="str">
        <x:v>4h 58m</x:v>
      </x:c>
      <x:c r="J16" s="48" t="str">
        <x:v>Strava</x:v>
      </x:c>
      <x:c r="K16" s="48" t="str">
        <x:v>Maps</x:v>
      </x:c>
      <x:c r="L16" s="48" t="str">
        <x:v>Waze</x:v>
      </x:c>
    </x:row>
    <x:row r="17">
      <x:c r="A17" s="28" t="str">
        <x:v>14/02/26</x:v>
      </x:c>
      <x:c r="B17" s="28" t="str">
        <x:v>07</x:v>
      </x:c>
      <x:c r="C17" s="28" t="str">
        <x:v>Tradicional</x:v>
      </x:c>
      <x:c r="D17" s="28" t="str">
        <x:v>Quilapilun</x:v>
      </x:c>
      <x:c r="E17" s="28" t="str">
        <x:v>Quilapilun - Til til - Caleu - cumbre Dormida - Quilapilun</x:v>
      </x:c>
      <x:c r="F17" s="28" t="str">
        <x:v>Media montaña</x:v>
      </x:c>
      <x:c r="G17" s="28" t="n">
        <x:v>106.38</x:v>
      </x:c>
      <x:c r="H17" s="28" t="n">
        <x:v>1199</x:v>
      </x:c>
      <x:c r="I17" s="28" t="str">
        <x:v>4h 6m</x:v>
      </x:c>
      <x:c r="J17" s="48" t="str">
        <x:v>Strava</x:v>
      </x:c>
      <x:c r="K17" s="48" t="str">
        <x:v>Maps</x:v>
      </x:c>
      <x:c r="L17" s="48" t="str">
        <x:v>Waze</x:v>
      </x:c>
    </x:row>
    <x:row r="18">
      <x:c r="A18" s="28" t="str">
        <x:v>21/02/26</x:v>
      </x:c>
      <x:c r="B18" s="28" t="str">
        <x:v>08</x:v>
      </x:c>
      <x:c r="C18" s="28" t="str">
        <x:v>Tradicional</x:v>
      </x:c>
      <x:c r="D18" s="28" t="str">
        <x:v>Coda</x:v>
      </x:c>
      <x:c r="E18" s="28" t="str">
        <x:v>Coda - Colliguay</x:v>
      </x:c>
      <x:c r="F18" s="28" t="str">
        <x:v>Montaña</x:v>
      </x:c>
      <x:c r="G18" s="28" t="n">
        <x:v>116.27</x:v>
      </x:c>
      <x:c r="H18" s="28" t="n">
        <x:v>2005</x:v>
      </x:c>
      <x:c r="I18" s="28" t="str">
        <x:v>4h 25m</x:v>
      </x:c>
      <x:c r="J18" s="48" t="str">
        <x:v>Strava</x:v>
      </x:c>
      <x:c r="K18" s="48" t="str">
        <x:v>Maps</x:v>
      </x:c>
      <x:c r="L18" s="48" t="str">
        <x:v>Waze</x:v>
      </x:c>
    </x:row>
    <x:row r="19">
      <x:c r="A19" s="28" t="str">
        <x:v>27/02/26</x:v>
      </x:c>
      <x:c r="B19" s="28" t="str">
        <x:v>09</x:v>
      </x:c>
      <x:c r="C19" s="28" t="str">
        <x:v>Paseo</x:v>
      </x:c>
      <x:c r="D19" s="28" t="str">
        <x:v>Mall Sport</x:v>
      </x:c>
      <x:c r="E19" s="28" t="str">
        <x:v>Farellones Full Moon + tres Valles</x:v>
      </x:c>
      <x:c r="F19" s="28" t="str">
        <x:v>Montaña</x:v>
      </x:c>
      <x:c r="G19" s="28" t="n">
        <x:v>32.96</x:v>
      </x:c>
      <x:c r="H19" s="28" t="n">
        <x:v>1670</x:v>
      </x:c>
      <x:c r="I19" s="28" t="str">
        <x:v>1h 44m</x:v>
      </x:c>
      <x:c r="J19" s="48" t="str">
        <x:v>Strava</x:v>
      </x:c>
      <x:c r="K19" s="48" t="str">
        <x:v>Maps</x:v>
      </x:c>
      <x:c r="L19" s="48" t="str">
        <x:v>Waze</x:v>
      </x:c>
    </x:row>
    <x:row r="20">
      <x:c r="A20" s="28" t="str">
        <x:v>28/02/26</x:v>
      </x:c>
      <x:c r="B20" s="28" t="str">
        <x:v>09</x:v>
      </x:c>
      <x:c r="C20" s="28" t="str">
        <x:v>Paseo</x:v>
      </x:c>
      <x:c r="D20" s="28" t="str">
        <x:v>Mall Sport</x:v>
      </x:c>
      <x:c r="E20" s="28" t="str">
        <x:v>Farellones Full Moon + tres Valles</x:v>
      </x:c>
      <x:c r="F20" s="28" t="str">
        <x:v>Montaña</x:v>
      </x:c>
      <x:c r="G20" s="28" t="n">
        <x:v>32.96</x:v>
      </x:c>
      <x:c r="H20" s="28" t="n">
        <x:v>1670</x:v>
      </x:c>
      <x:c r="I20" s="28" t="str">
        <x:v>1h 44m</x:v>
      </x:c>
      <x:c r="J20" s="48" t="str">
        <x:v>Strava</x:v>
      </x:c>
      <x:c r="K20" s="48" t="str">
        <x:v>Maps</x:v>
      </x:c>
      <x:c r="L20" s="48" t="str">
        <x:v>Waze</x:v>
      </x:c>
    </x:row>
    <x:row r="21">
      <x:c r="A21" s="28" t="str">
        <x:v>07/03/26</x:v>
      </x:c>
      <x:c r="B21" s="28" t="str">
        <x:v>10</x:v>
      </x:c>
      <x:c r="C21" s="28" t="str">
        <x:v>Tradicional</x:v>
      </x:c>
      <x:c r="D21" s="28" t="str">
        <x:v>Kross</x:v>
      </x:c>
      <x:c r="E21" s="28" t="str">
        <x:v>Kross - Pangue - Ibacache (GFC)</x:v>
      </x:c>
      <x:c r="F21" s="28" t="str">
        <x:v>Fondo</x:v>
      </x:c>
      <x:c r="G21" s="28" t="n">
        <x:v>122.05</x:v>
      </x:c>
      <x:c r="H21" s="28" t="n">
        <x:v>1064</x:v>
      </x:c>
      <x:c r="I21" s="28" t="str">
        <x:v>4h 36m</x:v>
      </x:c>
      <x:c r="J21" s="48" t="str">
        <x:v>Strava</x:v>
      </x:c>
      <x:c r="K21" s="48" t="str">
        <x:v>Maps</x:v>
      </x:c>
      <x:c r="L21" s="48" t="str">
        <x:v>Waze</x:v>
      </x:c>
    </x:row>
    <x:row r="22">
      <x:c r="A22" s="28" t="str">
        <x:v>14/03/26</x:v>
      </x:c>
      <x:c r="B22" s="28" t="str">
        <x:v>11</x:v>
      </x:c>
      <x:c r="C22" s="28" t="str">
        <x:v>Tradicional</x:v>
      </x:c>
      <x:c r="D22" s="28" t="str">
        <x:v>Mc Chamisero</x:v>
      </x:c>
      <x:c r="E22" s="28" t="str">
        <x:v>Mc Chamisero - Til Til - Cumbre La Dormida (Bis)</x:v>
      </x:c>
      <x:c r="F22" s="28" t="str">
        <x:v>Media montaña</x:v>
      </x:c>
      <x:c r="G22" s="28" t="n">
        <x:v>136.4</x:v>
      </x:c>
      <x:c r="H22" s="28" t="n">
        <x:v>1118</x:v>
      </x:c>
      <x:c r="I22" s="28" t="str">
        <x:v>5h 02m</x:v>
      </x:c>
      <x:c r="J22" s="48" t="str">
        <x:v>Strava</x:v>
      </x:c>
      <x:c r="K22" s="48" t="str">
        <x:v>Maps</x:v>
      </x:c>
      <x:c r="L22" s="48" t="str">
        <x:v>Waze</x:v>
      </x:c>
    </x:row>
    <x:row r="23">
      <x:c r="A23" s="28" t="str">
        <x:v>21/03/26</x:v>
      </x:c>
      <x:c r="B23" s="28" t="str">
        <x:v>12</x:v>
      </x:c>
      <x:c r="C23" s="28" t="str">
        <x:v>Tradicional</x:v>
      </x:c>
      <x:c r="D23" s="28" t="str">
        <x:v>Quilapilun</x:v>
      </x:c>
      <x:c r="E23" s="28" t="str">
        <x:v>Portillo </x:v>
      </x:c>
      <x:c r="F23" s="28" t="str">
        <x:v>Alta Montaña</x:v>
      </x:c>
      <x:c r="G23" s="28" t="n">
        <x:v>118.11</x:v>
      </x:c>
      <x:c r="H23" s="28" t="n">
        <x:v>3650</x:v>
      </x:c>
      <x:c r="I23" s="28" t="str">
        <x:v>4h 29m</x:v>
      </x:c>
      <x:c r="J23" s="48" t="str">
        <x:v>Strava</x:v>
      </x:c>
      <x:c r="K23" s="48" t="str">
        <x:v>Maps</x:v>
      </x:c>
      <x:c r="L23" s="48" t="str">
        <x:v>Waze</x:v>
      </x:c>
    </x:row>
    <x:row r="24">
      <x:c r="A24" s="28" t="str">
        <x:v>28/03/26</x:v>
      </x:c>
      <x:c r="B24" s="28" t="str">
        <x:v>13</x:v>
      </x:c>
      <x:c r="C24" s="28" t="str">
        <x:v>Tradicional</x:v>
      </x:c>
      <x:c r="D24" s="28" t="str">
        <x:v>Vizcachas</x:v>
      </x:c>
      <x:c r="E24" s="28" t="str">
        <x:v>Vizcachas - Embalse el Yeso (Bis)</x:v>
      </x:c>
      <x:c r="F24" s="28" t="str">
        <x:v>Alta Montaña</x:v>
      </x:c>
      <x:c r="G24" s="28" t="n">
        <x:v>127.5</x:v>
      </x:c>
      <x:c r="H24" s="28" t="n">
        <x:v>2186</x:v>
      </x:c>
      <x:c r="I24" s="28" t="str">
        <x:v>4h 47m</x:v>
      </x:c>
      <x:c r="J24" s="48" t="str">
        <x:v>Strava</x:v>
      </x:c>
      <x:c r="K24" s="48" t="str">
        <x:v>Maps</x:v>
      </x:c>
      <x:c r="L24" s="48" t="str">
        <x:v>Waze</x:v>
      </x:c>
    </x:row>
    <x:row r="25">
      <x:c r="A25" s="28" t="str">
        <x:v>03/04/25</x:v>
      </x:c>
      <x:c r="B25" s="28" t="str">
        <x:v>14</x:v>
      </x:c>
      <x:c r="C25" s="28" t="str">
        <x:v>Paseo</x:v>
      </x:c>
      <x:c r="D25" s="28" t="str">
        <x:v>Viaje Colchagua: 3 dias</x:v>
      </x:c>
      <x:c r="E25" s="28" t="str">
        <x:v>Viaje Colchagua: 3 dias</x:v>
      </x:c>
      <x:c r="F25" s="28" t="str"/>
      <x:c r="G25" s="28" t="str">
        <x:v>TBD</x:v>
      </x:c>
      <x:c r="H25" s="28" t="str">
        <x:v>TBD</x:v>
      </x:c>
      <x:c r="I25" s="28" t="str">
        <x:v>TBD</x:v>
      </x:c>
      <x:c r="J25" s="48" t="str"/>
      <x:c r="K25" s="48" t="str"/>
      <x:c r="L25" s="48" t="str"/>
    </x:row>
    <x:row r="26">
      <x:c r="A26" s="28" t="str">
        <x:v>04/04/26</x:v>
      </x:c>
      <x:c r="B26" s="28" t="str">
        <x:v>14</x:v>
      </x:c>
      <x:c r="C26" s="28" t="str">
        <x:v>Paseo</x:v>
      </x:c>
      <x:c r="D26" s="28" t="str">
        <x:v>Viaje Colchagua: 3 dias</x:v>
      </x:c>
      <x:c r="E26" s="28" t="str">
        <x:v>Viaje Colchagua: 3 dias</x:v>
      </x:c>
      <x:c r="F26" s="28" t="str"/>
      <x:c r="G26" s="28" t="str">
        <x:v>TBD</x:v>
      </x:c>
      <x:c r="H26" s="28" t="str">
        <x:v>TBD</x:v>
      </x:c>
      <x:c r="I26" s="28" t="str">
        <x:v>TBD</x:v>
      </x:c>
      <x:c r="J26" s="48" t="str"/>
      <x:c r="K26" s="48" t="str"/>
      <x:c r="L26" s="48" t="str"/>
    </x:row>
    <x:row r="27">
      <x:c r="A27" s="28" t="str">
        <x:v>05/04/26</x:v>
      </x:c>
      <x:c r="B27" s="28" t="str">
        <x:v>14</x:v>
      </x:c>
      <x:c r="C27" s="28" t="str">
        <x:v>Paseo</x:v>
      </x:c>
      <x:c r="D27" s="28" t="str">
        <x:v>Viaje Colchagua: 3 dias</x:v>
      </x:c>
      <x:c r="E27" s="28" t="str">
        <x:v>Viaje Colchagua: 3 dias</x:v>
      </x:c>
      <x:c r="F27" s="28" t="str"/>
      <x:c r="G27" s="28" t="str">
        <x:v>TBD</x:v>
      </x:c>
      <x:c r="H27" s="28" t="str">
        <x:v>TBD</x:v>
      </x:c>
      <x:c r="I27" s="28" t="str">
        <x:v>TBD</x:v>
      </x:c>
      <x:c r="J27" s="48" t="str"/>
      <x:c r="K27" s="48" t="str"/>
      <x:c r="L27" s="48" t="str"/>
    </x:row>
    <x:row r="28">
      <x:c r="A28" s="28" t="str">
        <x:v>11/04/26</x:v>
      </x:c>
      <x:c r="B28" s="28" t="str">
        <x:v>15</x:v>
      </x:c>
      <x:c r="C28" s="28" t="str">
        <x:v>Tradicional</x:v>
      </x:c>
      <x:c r="D28" s="28" t="str">
        <x:v>Viña undurraga</x:v>
      </x:c>
      <x:c r="E28" s="28" t="str">
        <x:v>Viña undurraga - Cuesta Chada (Bis)</x:v>
      </x:c>
      <x:c r="F28" s="28" t="str">
        <x:v>Fondo</x:v>
      </x:c>
      <x:c r="G28" s="28" t="n">
        <x:v>120.1</x:v>
      </x:c>
      <x:c r="H28" s="28" t="n">
        <x:v>787</x:v>
      </x:c>
      <x:c r="I28" s="28" t="str">
        <x:v>4h 32m</x:v>
      </x:c>
      <x:c r="J28" s="48" t="str">
        <x:v>Strava</x:v>
      </x:c>
      <x:c r="K28" s="48" t="str">
        <x:v>Maps</x:v>
      </x:c>
      <x:c r="L28" s="48" t="str">
        <x:v>Waze</x:v>
      </x:c>
    </x:row>
    <x:row r="29">
      <x:c r="A29" s="28" t="str">
        <x:v>18/04/26</x:v>
      </x:c>
      <x:c r="B29" s="28" t="str">
        <x:v>16</x:v>
      </x:c>
      <x:c r="C29" s="28" t="str">
        <x:v>Tradicional</x:v>
      </x:c>
      <x:c r="D29" s="28" t="str">
        <x:v>Aurora</x:v>
      </x:c>
      <x:c r="E29" s="28" t="str">
        <x:v>Aurora - Barriga - Mallarauco - Chorombo alto - Aurora</x:v>
      </x:c>
      <x:c r="F29" s="28" t="str">
        <x:v>Fondo</x:v>
      </x:c>
      <x:c r="G29" s="28" t="n">
        <x:v>112.1</x:v>
      </x:c>
      <x:c r="H29" s="28" t="n">
        <x:v>979</x:v>
      </x:c>
      <x:c r="I29" s="28" t="str">
        <x:v>4h 16m</x:v>
      </x:c>
      <x:c r="J29" s="48" t="str">
        <x:v>Strava</x:v>
      </x:c>
      <x:c r="K29" s="48" t="str">
        <x:v>Maps</x:v>
      </x:c>
      <x:c r="L29" s="48" t="str">
        <x:v>Waze</x:v>
      </x:c>
    </x:row>
    <x:row r="30">
      <x:c r="A30" s="28" t="str">
        <x:v>25/04/26</x:v>
      </x:c>
      <x:c r="B30" s="28" t="str">
        <x:v>17</x:v>
      </x:c>
      <x:c r="C30" s="28" t="str">
        <x:v>Tradicional</x:v>
      </x:c>
      <x:c r="D30" s="28" t="str">
        <x:v>Francisco Mostazal</x:v>
      </x:c>
      <x:c r="E30" s="28" t="str">
        <x:v>La montaña/OGM - Coya - El acido (Bis)</x:v>
      </x:c>
      <x:c r="F30" s="28" t="str">
        <x:v>Media montaña</x:v>
      </x:c>
      <x:c r="G30" s="28" t="n">
        <x:v>134.8</x:v>
      </x:c>
      <x:c r="H30" s="28" t="n">
        <x:v>1435</x:v>
      </x:c>
      <x:c r="I30" s="28" t="str">
        <x:v>5h 1m</x:v>
      </x:c>
      <x:c r="J30" s="48" t="str">
        <x:v>Strava</x:v>
      </x:c>
      <x:c r="K30" s="48" t="str">
        <x:v>Maps</x:v>
      </x:c>
      <x:c r="L30" s="48" t="str">
        <x:v>Waze</x:v>
      </x:c>
    </x:row>
    <x:row r="31">
      <x:c r="A31" s="28" t="str">
        <x:v>02/05/26</x:v>
      </x:c>
      <x:c r="B31" s="28" t="str">
        <x:v>18</x:v>
      </x:c>
      <x:c r="C31" s="28" t="str">
        <x:v>Tradicional</x:v>
      </x:c>
      <x:c r="D31" s="28" t="str">
        <x:v>Tiltil</x:v>
      </x:c>
      <x:c r="E31" s="28" t="str">
        <x:v>Tiltil - Caleu - Quebrada Alvarado - Niño Dios (Bis)</x:v>
      </x:c>
      <x:c r="F31" s="28" t="str">
        <x:v>Alta Montaña</x:v>
      </x:c>
      <x:c r="G31" s="28" t="n">
        <x:v>83.1</x:v>
      </x:c>
      <x:c r="H31" s="28" t="n">
        <x:v>2138</x:v>
      </x:c>
      <x:c r="I31" s="28" t="str">
        <x:v>3h 21m</x:v>
      </x:c>
      <x:c r="J31" s="48" t="str">
        <x:v>Strava</x:v>
      </x:c>
      <x:c r="K31" s="48" t="str">
        <x:v>Maps</x:v>
      </x:c>
      <x:c r="L31" s="48" t="str">
        <x:v>Waze</x:v>
      </x:c>
    </x:row>
    <x:row r="32">
      <x:c r="A32" s="28" t="str">
        <x:v>09/05/26</x:v>
      </x:c>
      <x:c r="B32" s="28" t="str">
        <x:v>19</x:v>
      </x:c>
      <x:c r="C32" s="28" t="str">
        <x:v>Paseo</x:v>
      </x:c>
      <x:c r="D32" s="28" t="str">
        <x:v>Shell Ruta 68</x:v>
      </x:c>
      <x:c r="E32" s="28" t="str">
        <x:v>Santo Domingo</x:v>
      </x:c>
      <x:c r="F32" s="28" t="str">
        <x:v>Media montaña</x:v>
      </x:c>
      <x:c r="G32" s="28" t="n">
        <x:v>117.5</x:v>
      </x:c>
      <x:c r="H32" s="28" t="n">
        <x:v>1151</x:v>
      </x:c>
      <x:c r="I32" s="28" t="str">
        <x:v>4h 27m</x:v>
      </x:c>
      <x:c r="J32" s="48" t="str">
        <x:v>Strava</x:v>
      </x:c>
      <x:c r="K32" s="48" t="str">
        <x:v>Maps</x:v>
      </x:c>
      <x:c r="L32" s="48" t="str">
        <x:v>Waze</x:v>
      </x:c>
    </x:row>
    <x:row r="33">
      <x:c r="A33" s="28" t="str">
        <x:v>16/05/26</x:v>
      </x:c>
      <x:c r="B33" s="28" t="str">
        <x:v>20</x:v>
      </x:c>
      <x:c r="C33" s="28" t="str">
        <x:v>Tradicional</x:v>
      </x:c>
      <x:c r="D33" s="28" t="str">
        <x:v>Vizcachas</x:v>
      </x:c>
      <x:c r="E33" s="28" t="str">
        <x:v>Vizcachas - Lagunillas (Bis)</x:v>
      </x:c>
      <x:c r="F33" s="28" t="str">
        <x:v>Montaña</x:v>
      </x:c>
      <x:c r="G33" s="28" t="n">
        <x:v>98.4</x:v>
      </x:c>
      <x:c r="H33" s="28" t="n">
        <x:v>2062</x:v>
      </x:c>
      <x:c r="I33" s="28" t="str">
        <x:v>3h 50m</x:v>
      </x:c>
      <x:c r="J33" s="48" t="str">
        <x:v>Strava</x:v>
      </x:c>
      <x:c r="K33" s="48" t="str">
        <x:v>Maps</x:v>
      </x:c>
      <x:c r="L33" s="48" t="str">
        <x:v>Waze</x:v>
      </x:c>
    </x:row>
    <x:row r="34">
      <x:c r="A34" s="28" t="str">
        <x:v>23/05/26</x:v>
      </x:c>
      <x:c r="B34" s="28" t="str">
        <x:v>21</x:v>
      </x:c>
      <x:c r="C34" s="28" t="str">
        <x:v>Tradicional</x:v>
      </x:c>
      <x:c r="D34" s="28" t="str">
        <x:v>Veramonte</x:v>
      </x:c>
      <x:c r="E34" s="28" t="str">
        <x:v>Veramonte - GFNY</x:v>
      </x:c>
      <x:c r="F34" s="28" t="str">
        <x:v>Media montaña</x:v>
      </x:c>
      <x:c r="G34" s="28" t="n">
        <x:v>116.8</x:v>
      </x:c>
      <x:c r="H34" s="28" t="n">
        <x:v>1431</x:v>
      </x:c>
      <x:c r="I34" s="28" t="str">
        <x:v>4h 26m</x:v>
      </x:c>
      <x:c r="J34" s="48" t="str">
        <x:v>Strava</x:v>
      </x:c>
      <x:c r="K34" s="48" t="str">
        <x:v>Maps</x:v>
      </x:c>
      <x:c r="L34" s="48" t="str">
        <x:v>Waze</x:v>
      </x:c>
    </x:row>
    <x:row r="35">
      <x:c r="A35" s="28" t="str">
        <x:v>30/05/26</x:v>
      </x:c>
      <x:c r="B35" s="28" t="str">
        <x:v>22</x:v>
      </x:c>
      <x:c r="C35" s="28" t="str">
        <x:v>Tradicional</x:v>
      </x:c>
      <x:c r="D35" s="28" t="str">
        <x:v>Shell Ruta 68</x:v>
      </x:c>
      <x:c r="E35" s="28" t="str">
        <x:v>Lo Prado - Cuesta Ibacache (Bis)</x:v>
      </x:c>
      <x:c r="F35" s="28" t="str">
        <x:v>Media montaña</x:v>
      </x:c>
      <x:c r="G35" s="28" t="n">
        <x:v>120.3</x:v>
      </x:c>
      <x:c r="H35" s="28" t="n">
        <x:v>1236</x:v>
      </x:c>
      <x:c r="I35" s="28" t="str">
        <x:v>5h 02m</x:v>
      </x:c>
      <x:c r="J35" s="48" t="str">
        <x:v>Strava</x:v>
      </x:c>
      <x:c r="K35" s="48" t="str">
        <x:v>Maps</x:v>
      </x:c>
      <x:c r="L35" s="48" t="str">
        <x:v>Waze</x:v>
      </x:c>
    </x:row>
    <x:row r="36">
      <x:c r="A36" s="28" t="str">
        <x:v>06/06/26</x:v>
      </x:c>
      <x:c r="B36" s="28" t="str">
        <x:v>23</x:v>
      </x:c>
      <x:c r="C36" s="28" t="str">
        <x:v>Tradicional</x:v>
      </x:c>
      <x:c r="D36" s="28" t="str">
        <x:v>La Dormida</x:v>
      </x:c>
      <x:c r="E36" s="28" t="str">
        <x:v>La Dormida - Chacabuco</x:v>
      </x:c>
      <x:c r="F36" s="28" t="str">
        <x:v>Montaña</x:v>
      </x:c>
      <x:c r="G36" s="28" t="n">
        <x:v>123.9</x:v>
      </x:c>
      <x:c r="H36" s="28" t="n">
        <x:v>1611</x:v>
      </x:c>
      <x:c r="I36" s="28" t="str">
        <x:v>4h 40m</x:v>
      </x:c>
      <x:c r="J36" s="48" t="str">
        <x:v>Strava</x:v>
      </x:c>
      <x:c r="K36" s="48" t="str">
        <x:v>Maps</x:v>
      </x:c>
      <x:c r="L36" s="48" t="str">
        <x:v>Waze</x:v>
      </x:c>
    </x:row>
    <x:row r="37">
      <x:c r="A37" s="28" t="str">
        <x:v>13/06/26</x:v>
      </x:c>
      <x:c r="B37" s="28" t="str">
        <x:v>24</x:v>
      </x:c>
      <x:c r="C37" s="28" t="str">
        <x:v>Tradicional</x:v>
      </x:c>
      <x:c r="D37" s="28" t="str">
        <x:v>Coda</x:v>
      </x:c>
      <x:c r="E37" s="28" t="str">
        <x:v>Coda - Las Dichas - Tunquén</x:v>
      </x:c>
      <x:c r="F37" s="28" t="str">
        <x:v>Montaña</x:v>
      </x:c>
      <x:c r="G37" s="28" t="n">
        <x:v>108.4</x:v>
      </x:c>
      <x:c r="H37" s="28" t="n">
        <x:v>1866</x:v>
      </x:c>
      <x:c r="I37" s="28" t="str">
        <x:v>4h 10m</x:v>
      </x:c>
      <x:c r="J37" s="48" t="str">
        <x:v>Strava</x:v>
      </x:c>
      <x:c r="K37" s="48" t="str">
        <x:v>Maps</x:v>
      </x:c>
      <x:c r="L37" s="48" t="str">
        <x:v>Waze</x:v>
      </x:c>
    </x:row>
    <x:row r="38">
      <x:c r="A38" s="28" t="str">
        <x:v>20/06/26</x:v>
      </x:c>
      <x:c r="B38" s="28" t="str">
        <x:v>25</x:v>
      </x:c>
      <x:c r="C38" s="28" t="str">
        <x:v>Tradicional</x:v>
      </x:c>
      <x:c r="D38" s="28" t="str">
        <x:v>Mc Chamisero</x:v>
      </x:c>
      <x:c r="E38" s="28" t="str">
        <x:v>Mc Chamisero - Chicauma - Quilapilun (Bis)</x:v>
      </x:c>
      <x:c r="F38" s="28" t="str">
        <x:v>Fondo</x:v>
      </x:c>
      <x:c r="G38" s="28" t="n">
        <x:v>138.3</x:v>
      </x:c>
      <x:c r="H38" s="28" t="n">
        <x:v>496</x:v>
      </x:c>
      <x:c r="I38" s="28" t="str">
        <x:v>5h 8m</x:v>
      </x:c>
      <x:c r="J38" s="48" t="str">
        <x:v>Strava</x:v>
      </x:c>
      <x:c r="K38" s="48" t="str">
        <x:v>Maps</x:v>
      </x:c>
      <x:c r="L38" s="48" t="str">
        <x:v>Waze</x:v>
      </x:c>
    </x:row>
    <x:row r="39">
      <x:c r="A39" s="28" t="str">
        <x:v>27/06/26</x:v>
      </x:c>
      <x:c r="B39" s="28" t="str">
        <x:v>26</x:v>
      </x:c>
      <x:c r="C39" s="28" t="str">
        <x:v>Paseo</x:v>
      </x:c>
      <x:c r="D39" s="28" t="str">
        <x:v>Viaje al Norte</x:v>
      </x:c>
      <x:c r="E39" s="28" t="str">
        <x:v>Viaje al Norte</x:v>
      </x:c>
      <x:c r="F39" s="28" t="str"/>
      <x:c r="G39" s="28" t="str">
        <x:v>TBD</x:v>
      </x:c>
      <x:c r="H39" s="28" t="str">
        <x:v>TBD</x:v>
      </x:c>
      <x:c r="I39" s="28" t="str">
        <x:v>TBD</x:v>
      </x:c>
      <x:c r="J39" s="48" t="str"/>
      <x:c r="K39" s="48" t="str"/>
      <x:c r="L39" s="48" t="str"/>
    </x:row>
    <x:row r="40">
      <x:c r="A40" s="28" t="str">
        <x:v>28/06/26</x:v>
      </x:c>
      <x:c r="B40" s="28" t="str">
        <x:v>26</x:v>
      </x:c>
      <x:c r="C40" s="28" t="str">
        <x:v>Paseo</x:v>
      </x:c>
      <x:c r="D40" s="28" t="str">
        <x:v>Viaje al Norte</x:v>
      </x:c>
      <x:c r="E40" s="28" t="str">
        <x:v>Viaje al Norte</x:v>
      </x:c>
      <x:c r="F40" s="28" t="str"/>
      <x:c r="G40" s="28" t="str">
        <x:v>TBD</x:v>
      </x:c>
      <x:c r="H40" s="28" t="str">
        <x:v>TBD</x:v>
      </x:c>
      <x:c r="I40" s="28" t="str">
        <x:v>TBD</x:v>
      </x:c>
      <x:c r="J40" s="48" t="str"/>
      <x:c r="K40" s="48" t="str"/>
      <x:c r="L40" s="48" t="str"/>
    </x:row>
    <x:row r="41">
      <x:c r="A41" s="28" t="str">
        <x:v>29/06/26</x:v>
      </x:c>
      <x:c r="B41" s="28" t="str">
        <x:v>27</x:v>
      </x:c>
      <x:c r="C41" s="28" t="str">
        <x:v>Paseo</x:v>
      </x:c>
      <x:c r="D41" s="28" t="str">
        <x:v>Viaje al Norte</x:v>
      </x:c>
      <x:c r="E41" s="28" t="str">
        <x:v>Viaje al Norte</x:v>
      </x:c>
      <x:c r="F41" s="28" t="str"/>
      <x:c r="G41" s="28" t="str">
        <x:v>TBD</x:v>
      </x:c>
      <x:c r="H41" s="28" t="str">
        <x:v>TBD</x:v>
      </x:c>
      <x:c r="I41" s="28" t="str">
        <x:v>TBD</x:v>
      </x:c>
      <x:c r="J41" s="48" t="str"/>
      <x:c r="K41" s="48" t="str"/>
      <x:c r="L41" s="48" t="str"/>
    </x:row>
  </x:sheetData>
  <x:mergeCells>
    <x:mergeCell ref="A1:L1"/>
    <x:mergeCell ref="A2:L2"/>
  </x:mergeCells>
  <x:pageMargins left="0.7" right="0.7" top="0.75" bottom="0.75" header="0.3" footer="0.3"/>
</x:worksheet>
</file>