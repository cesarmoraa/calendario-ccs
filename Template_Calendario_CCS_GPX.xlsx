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esarmora/Library/Mobile Documents/com~apple~CloudDocs/Personal/Ciclismo/Calendario/"/>
    </mc:Choice>
  </mc:AlternateContent>
  <xr:revisionPtr revIDLastSave="0" documentId="13_ncr:1_{576DE37D-A987-B142-9BC9-7468694BA866}" xr6:coauthVersionLast="47" xr6:coauthVersionMax="47" xr10:uidLastSave="{00000000-0000-0000-0000-000000000000}"/>
  <bookViews>
    <workbookView xWindow="0" yWindow="780" windowWidth="30240" windowHeight="17780" xr2:uid="{00000000-000D-0000-FFFF-FFFF00000000}"/>
  </bookViews>
  <sheets>
    <sheet name="Template_Calendario_CCS" sheetId="1" r:id="rId1"/>
    <sheet name="Usuarios" sheetId="2" r:id="rId2"/>
  </sheets>
  <definedNames>
    <definedName name="_xlnm._FilterDatabase" localSheetId="0" hidden="1">Template_Calendario_CCS!$A$1:$M$64</definedName>
    <definedName name="_xlnm._FilterDatabase" localSheetId="1" hidden="1">Usuarios!$A$1:$E$98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G53" i="1" s="1"/>
  <c r="F66" i="1"/>
  <c r="F65" i="1"/>
  <c r="G65" i="1" s="1"/>
  <c r="G45" i="1"/>
  <c r="G41" i="1"/>
  <c r="G50" i="1"/>
  <c r="G55" i="1"/>
  <c r="G58" i="1"/>
  <c r="G59" i="1"/>
  <c r="G60" i="1"/>
  <c r="F50" i="1"/>
  <c r="F45" i="1"/>
  <c r="F3" i="1"/>
  <c r="G3" i="1" s="1"/>
  <c r="F4" i="1"/>
  <c r="G4" i="1" s="1"/>
  <c r="F5" i="1"/>
  <c r="G5" i="1"/>
  <c r="F6" i="1"/>
  <c r="G6" i="1" s="1"/>
  <c r="F7" i="1"/>
  <c r="G7" i="1"/>
  <c r="F8" i="1"/>
  <c r="G8" i="1"/>
  <c r="F9" i="1"/>
  <c r="G9" i="1" s="1"/>
  <c r="F10" i="1"/>
  <c r="G10" i="1" s="1"/>
  <c r="F11" i="1"/>
  <c r="G11" i="1" s="1"/>
  <c r="F12" i="1"/>
  <c r="G12" i="1"/>
  <c r="F13" i="1"/>
  <c r="G13" i="1"/>
  <c r="F14" i="1"/>
  <c r="G14" i="1"/>
  <c r="F15" i="1"/>
  <c r="G15" i="1" s="1"/>
  <c r="F16" i="1"/>
  <c r="G16" i="1"/>
  <c r="F17" i="1"/>
  <c r="G17" i="1" s="1"/>
  <c r="F18" i="1"/>
  <c r="G18" i="1"/>
  <c r="F19" i="1"/>
  <c r="G19" i="1"/>
  <c r="F20" i="1"/>
  <c r="G20" i="1"/>
  <c r="F21" i="1"/>
  <c r="G21" i="1" s="1"/>
  <c r="F22" i="1"/>
  <c r="G22" i="1"/>
  <c r="F23" i="1"/>
  <c r="G23" i="1"/>
  <c r="F24" i="1"/>
  <c r="G24" i="1"/>
  <c r="F25" i="1"/>
  <c r="G25" i="1"/>
  <c r="F26" i="1"/>
  <c r="G26" i="1"/>
  <c r="F27" i="1"/>
  <c r="G27" i="1" s="1"/>
  <c r="F28" i="1"/>
  <c r="G28" i="1"/>
  <c r="F29" i="1"/>
  <c r="G29" i="1"/>
  <c r="F30" i="1"/>
  <c r="G30" i="1" s="1"/>
  <c r="F31" i="1"/>
  <c r="G31" i="1"/>
  <c r="F32" i="1"/>
  <c r="G32" i="1"/>
  <c r="F33" i="1"/>
  <c r="G33" i="1" s="1"/>
  <c r="F34" i="1"/>
  <c r="G34" i="1"/>
  <c r="F35" i="1"/>
  <c r="G35" i="1"/>
  <c r="F36" i="1"/>
  <c r="G36" i="1"/>
  <c r="F37" i="1"/>
  <c r="G37" i="1"/>
  <c r="F38" i="1"/>
  <c r="G38" i="1"/>
  <c r="F39" i="1"/>
  <c r="G39" i="1" s="1"/>
  <c r="F40" i="1"/>
  <c r="F41" i="1"/>
  <c r="F42" i="1"/>
  <c r="F43" i="1"/>
  <c r="F44" i="1"/>
  <c r="F46" i="1"/>
  <c r="F47" i="1"/>
  <c r="F48" i="1"/>
  <c r="F49" i="1"/>
  <c r="F51" i="1"/>
  <c r="F52" i="1"/>
  <c r="F54" i="1"/>
  <c r="F55" i="1"/>
  <c r="F56" i="1"/>
  <c r="F57" i="1"/>
  <c r="F58" i="1"/>
  <c r="F59" i="1"/>
  <c r="F60" i="1"/>
  <c r="F61" i="1"/>
  <c r="F62" i="1"/>
  <c r="F63" i="1"/>
  <c r="F64" i="1"/>
  <c r="F2" i="1"/>
  <c r="G2" i="1" s="1"/>
  <c r="A96" i="2"/>
  <c r="A97" i="2" s="1"/>
  <c r="A98" i="2" s="1"/>
</calcChain>
</file>

<file path=xl/sharedStrings.xml><?xml version="1.0" encoding="utf-8"?>
<sst xmlns="http://schemas.openxmlformats.org/spreadsheetml/2006/main" count="765" uniqueCount="394">
  <si>
    <t>Fecha</t>
  </si>
  <si>
    <t>Tipo Salida</t>
  </si>
  <si>
    <t>Ruta</t>
  </si>
  <si>
    <t>Inicio</t>
  </si>
  <si>
    <t>Archivo GPX</t>
  </si>
  <si>
    <t>Tradicional</t>
  </si>
  <si>
    <t>Paseo</t>
  </si>
  <si>
    <t>Aurora - Ibacache - San Jeronimo(Y) (bis)</t>
  </si>
  <si>
    <t>Quilapilun - Chacabuco - Bateas - Rungue - Til Til - Quilapilun</t>
  </si>
  <si>
    <t>Kross - Ibacache - casa blanca - zapata - Kross</t>
  </si>
  <si>
    <t>Vizcachas - Melosas helipuesto (Bis)</t>
  </si>
  <si>
    <t>Aurora - Cuncumen (Bis)</t>
  </si>
  <si>
    <t>Aurora - doble Lo Prado - doble Barriga</t>
  </si>
  <si>
    <t>Quilapilun - Til til - Caleu - cumbre Dormida - Quilapilun</t>
  </si>
  <si>
    <t>Coda - Colliguay</t>
  </si>
  <si>
    <t>Kross - Pangue - Ibacache (GFC)</t>
  </si>
  <si>
    <t>Mc Chamisero - Til Til - Cumbre La Dormida (Bis)</t>
  </si>
  <si>
    <t>Vizcachas - Embalse el Yeso (Bis)</t>
  </si>
  <si>
    <t>Viña undurraga - Cuesta Chada (Bis)</t>
  </si>
  <si>
    <t>Aurora - Barriga - Mallarauco - Chorombo alto - Aurora</t>
  </si>
  <si>
    <t>La montaña/OGM - Coya - El acido (Bis)</t>
  </si>
  <si>
    <t>Veramonte - GFNY</t>
  </si>
  <si>
    <t>Lo Prado - Cuesta Ibacache (Bis)</t>
  </si>
  <si>
    <t>Coda - Las Dichas - Tunquén</t>
  </si>
  <si>
    <t>Mc Chamisero - Chicauma - Quilapilun (Bis)</t>
  </si>
  <si>
    <t>Viaje al Norte</t>
  </si>
  <si>
    <t>Aurora</t>
  </si>
  <si>
    <t>Quilapilun</t>
  </si>
  <si>
    <t>Kross</t>
  </si>
  <si>
    <t>Vizcachas</t>
  </si>
  <si>
    <t>Coda</t>
  </si>
  <si>
    <t>Mc Chamisero</t>
  </si>
  <si>
    <t>Portillo</t>
  </si>
  <si>
    <t>Viña undurraga</t>
  </si>
  <si>
    <t>La montaña/OGM</t>
  </si>
  <si>
    <t>Veramonte</t>
  </si>
  <si>
    <t>Strava</t>
  </si>
  <si>
    <t>Por definir</t>
  </si>
  <si>
    <t>Dist (km)</t>
  </si>
  <si>
    <t>Ganancia Alt</t>
  </si>
  <si>
    <t>Tiempo Total Aprox</t>
  </si>
  <si>
    <t>Google Maps (inicio exacto)</t>
  </si>
  <si>
    <t>Waze (inicio exacto)</t>
  </si>
  <si>
    <t>MC Chamisero - Dormida Cumbre.gpx</t>
  </si>
  <si>
    <t>Quilapilun- El Orégano - Quilapilun ( por las Bateas ).GPX</t>
  </si>
  <si>
    <t>Mc Chamisero - Quiliapilun</t>
  </si>
  <si>
    <t>Viaje Colchagua: Dia 1</t>
  </si>
  <si>
    <t>Viaje Colchagua: Dia 2</t>
  </si>
  <si>
    <t>Viaje Colchagua: Dia 3</t>
  </si>
  <si>
    <t>La Aurora - cruce San Jeronimo - Santa Rosa.gpx</t>
  </si>
  <si>
    <t>Quilapilun- El Orégano - Quilapilun ( por las Bateas ).gpx</t>
  </si>
  <si>
    <t>Kross - Ibacache - Lagunillas - San Jerónimo - Zapata.gpx</t>
  </si>
  <si>
    <t>Las Vizcachas - Las Melosas.gpx</t>
  </si>
  <si>
    <t>La Aurora - Cuncumen CCS.gpx</t>
  </si>
  <si>
    <t>Aurora - doble Lo Prado - doble Barriga.gpx</t>
  </si>
  <si>
    <t>Quilapilun - El Oregano - Quilapilun.gpx</t>
  </si>
  <si>
    <t>Coda 2025 Ristretto.gpx</t>
  </si>
  <si>
    <t>Mall Sport - Farellones.gpx</t>
  </si>
  <si>
    <t>Kross Pangue Casablanca Ibacache Kross.gpx</t>
  </si>
  <si>
    <t>Quilapilun - Portillo.gpx</t>
  </si>
  <si>
    <t>Las Vizcachas - El Yeso.gpx</t>
  </si>
  <si>
    <t>Mc Chamisero - Quiliapilun.gpx</t>
  </si>
  <si>
    <t>Undurraga - Chada - Valdivia de Paine R.gpx</t>
  </si>
  <si>
    <t>La Aurora - Barriga - Mallarauco - La Aurora.gpx</t>
  </si>
  <si>
    <t>Lo Prado - Ibacache - Lo Prado.gpx</t>
  </si>
  <si>
    <t>Veramonte - GFNY.gpx</t>
  </si>
  <si>
    <t>La Dormida - Chacabuco.gpx</t>
  </si>
  <si>
    <t>Coda - Las Dichas - Tunquén.gpx</t>
  </si>
  <si>
    <t>Mc Chamisero - Chicauma - Punta Peuco.gpx</t>
  </si>
  <si>
    <t>OGM - Coya - El Acido (Bis).gpx</t>
  </si>
  <si>
    <t>TBD</t>
  </si>
  <si>
    <t>MARZO</t>
  </si>
  <si>
    <t>estado del socio</t>
  </si>
  <si>
    <t>RUT</t>
  </si>
  <si>
    <t>NOMBRE</t>
  </si>
  <si>
    <t>APELLIDO</t>
  </si>
  <si>
    <t>activo</t>
  </si>
  <si>
    <t>6.379.956-4</t>
  </si>
  <si>
    <t>Paolo</t>
  </si>
  <si>
    <t>Abelli</t>
  </si>
  <si>
    <t>9.472.883-5</t>
  </si>
  <si>
    <t xml:space="preserve">Fernando </t>
  </si>
  <si>
    <t xml:space="preserve">Acuña     </t>
  </si>
  <si>
    <t>6.934.427-5</t>
  </si>
  <si>
    <t xml:space="preserve">Sandro </t>
  </si>
  <si>
    <t>Araya</t>
  </si>
  <si>
    <t>16.303.578-2</t>
  </si>
  <si>
    <t xml:space="preserve">Camilo </t>
  </si>
  <si>
    <t>Astudillo</t>
  </si>
  <si>
    <t>6.032.108-6</t>
  </si>
  <si>
    <t xml:space="preserve">Cesár </t>
  </si>
  <si>
    <t>Avilés</t>
  </si>
  <si>
    <t>9.888.784-9</t>
  </si>
  <si>
    <t>Enrique</t>
  </si>
  <si>
    <t xml:space="preserve">Becerra </t>
  </si>
  <si>
    <t>7.677.357-2</t>
  </si>
  <si>
    <t xml:space="preserve">Marcelo </t>
  </si>
  <si>
    <t>Bernedo</t>
  </si>
  <si>
    <t>11.632.144-0</t>
  </si>
  <si>
    <t xml:space="preserve">Soledad </t>
  </si>
  <si>
    <t>Biehl</t>
  </si>
  <si>
    <t>12.661.911-1</t>
  </si>
  <si>
    <t xml:space="preserve">Cecilia </t>
  </si>
  <si>
    <t>Boloña</t>
  </si>
  <si>
    <t>48.228.066-8</t>
  </si>
  <si>
    <t>Michael</t>
  </si>
  <si>
    <t>Bowers</t>
  </si>
  <si>
    <t>9.907.036-6</t>
  </si>
  <si>
    <t xml:space="preserve">José Tomás </t>
  </si>
  <si>
    <t>Bunster</t>
  </si>
  <si>
    <t>13.473.290-3</t>
  </si>
  <si>
    <t>Nicolás</t>
  </si>
  <si>
    <t>9.903.146-8</t>
  </si>
  <si>
    <t xml:space="preserve">Sergio </t>
  </si>
  <si>
    <t xml:space="preserve">Bunster </t>
  </si>
  <si>
    <t>4.962.983-4</t>
  </si>
  <si>
    <t xml:space="preserve">Jaime </t>
  </si>
  <si>
    <t>Bunzli</t>
  </si>
  <si>
    <t>7.040.119-3</t>
  </si>
  <si>
    <t xml:space="preserve">Cristian </t>
  </si>
  <si>
    <t>Carrasco</t>
  </si>
  <si>
    <t>10.955.259-3</t>
  </si>
  <si>
    <t>Braulio</t>
  </si>
  <si>
    <t xml:space="preserve">Carrera </t>
  </si>
  <si>
    <t>12.239.643-6</t>
  </si>
  <si>
    <t xml:space="preserve">Franco </t>
  </si>
  <si>
    <t>Cisternas</t>
  </si>
  <si>
    <t>7.660.732-K</t>
  </si>
  <si>
    <t xml:space="preserve">Roberto </t>
  </si>
  <si>
    <t>10.332.002-K</t>
  </si>
  <si>
    <t xml:space="preserve">Felipe </t>
  </si>
  <si>
    <t>Coeymans</t>
  </si>
  <si>
    <t>7.015.879-5</t>
  </si>
  <si>
    <t>Canio</t>
  </si>
  <si>
    <t>Corbo</t>
  </si>
  <si>
    <t>6.363.429-8</t>
  </si>
  <si>
    <t>Gustavo</t>
  </si>
  <si>
    <t>Cortes</t>
  </si>
  <si>
    <t>6.977.034-7</t>
  </si>
  <si>
    <t xml:space="preserve">Guillermo </t>
  </si>
  <si>
    <t>Court</t>
  </si>
  <si>
    <t>49.010.475-5</t>
  </si>
  <si>
    <t>Manlio</t>
  </si>
  <si>
    <t>Coviello</t>
  </si>
  <si>
    <t>10.034.132-8</t>
  </si>
  <si>
    <t>Ivonne</t>
  </si>
  <si>
    <t>Delporte</t>
  </si>
  <si>
    <t>José Ignacio</t>
  </si>
  <si>
    <t>Díaz Llanten</t>
  </si>
  <si>
    <t>11.239.035-9</t>
  </si>
  <si>
    <t xml:space="preserve">Maritza </t>
  </si>
  <si>
    <t>Echavarria</t>
  </si>
  <si>
    <t>14.165.860-3</t>
  </si>
  <si>
    <t xml:space="preserve">Alejandra </t>
  </si>
  <si>
    <t>Echeverria</t>
  </si>
  <si>
    <t>9.048.732-9</t>
  </si>
  <si>
    <t xml:space="preserve">Juan Pablo </t>
  </si>
  <si>
    <t>Feliú</t>
  </si>
  <si>
    <t>9.491.906-1</t>
  </si>
  <si>
    <t>Mery</t>
  </si>
  <si>
    <t>Fuentes</t>
  </si>
  <si>
    <t>7.154.613-6</t>
  </si>
  <si>
    <t xml:space="preserve">Oscar </t>
  </si>
  <si>
    <t>Gomez</t>
  </si>
  <si>
    <t>15.382.933-0</t>
  </si>
  <si>
    <t xml:space="preserve">Alfonso </t>
  </si>
  <si>
    <t>Gómez</t>
  </si>
  <si>
    <t>7.546.124-0</t>
  </si>
  <si>
    <t>Oriana</t>
  </si>
  <si>
    <t>Gonzalez</t>
  </si>
  <si>
    <t>Mario</t>
  </si>
  <si>
    <t>González</t>
  </si>
  <si>
    <t xml:space="preserve">Pablo  </t>
  </si>
  <si>
    <t>Guerrero</t>
  </si>
  <si>
    <t>12.114.093-4</t>
  </si>
  <si>
    <t xml:space="preserve">Matias </t>
  </si>
  <si>
    <t>Henriquez</t>
  </si>
  <si>
    <t>Felipe Ignacio</t>
  </si>
  <si>
    <t>Hernández</t>
  </si>
  <si>
    <t>Nolly</t>
  </si>
  <si>
    <t xml:space="preserve">HERRERA </t>
  </si>
  <si>
    <t>8.427.195-0</t>
  </si>
  <si>
    <t xml:space="preserve">Claudio </t>
  </si>
  <si>
    <t>Hurtado</t>
  </si>
  <si>
    <t> 7.773.422-8 </t>
  </si>
  <si>
    <t xml:space="preserve">Alejandro </t>
  </si>
  <si>
    <t>Ihnen</t>
  </si>
  <si>
    <t>24.222.606-2</t>
  </si>
  <si>
    <t>Ilones</t>
  </si>
  <si>
    <t>14.607.831-1</t>
  </si>
  <si>
    <t xml:space="preserve">Iván </t>
  </si>
  <si>
    <t>Jiménez</t>
  </si>
  <si>
    <t>Eduardo</t>
  </si>
  <si>
    <t>Katz</t>
  </si>
  <si>
    <t>7.703.926-0</t>
  </si>
  <si>
    <t xml:space="preserve">Arnoldo </t>
  </si>
  <si>
    <t>kopplin</t>
  </si>
  <si>
    <t>Lalanne</t>
  </si>
  <si>
    <t>Francisca</t>
  </si>
  <si>
    <t>Leigthon</t>
  </si>
  <si>
    <t>6.926.363-1</t>
  </si>
  <si>
    <t>Alejandro</t>
  </si>
  <si>
    <t>Leon</t>
  </si>
  <si>
    <t>Leria</t>
  </si>
  <si>
    <t>10.966.730-7</t>
  </si>
  <si>
    <t>Leturia</t>
  </si>
  <si>
    <t xml:space="preserve">Alvaro </t>
  </si>
  <si>
    <t>López</t>
  </si>
  <si>
    <t xml:space="preserve">Ricardo </t>
  </si>
  <si>
    <t>5.164.469-7</t>
  </si>
  <si>
    <t>Raul</t>
  </si>
  <si>
    <t>Lyon</t>
  </si>
  <si>
    <t xml:space="preserve">Tomás </t>
  </si>
  <si>
    <t>Magallon</t>
  </si>
  <si>
    <t xml:space="preserve">Paolo </t>
  </si>
  <si>
    <t>Maino</t>
  </si>
  <si>
    <t>8.510.190-0</t>
  </si>
  <si>
    <t xml:space="preserve">Christian </t>
  </si>
  <si>
    <t xml:space="preserve">Martin </t>
  </si>
  <si>
    <t xml:space="preserve">Rodrigo </t>
  </si>
  <si>
    <t>Martínez</t>
  </si>
  <si>
    <t xml:space="preserve">Marcela </t>
  </si>
  <si>
    <t>Maturana</t>
  </si>
  <si>
    <t xml:space="preserve">Fabian </t>
  </si>
  <si>
    <t>Mercado</t>
  </si>
  <si>
    <t>28.791.080-0</t>
  </si>
  <si>
    <t>Laura</t>
  </si>
  <si>
    <t>Moller</t>
  </si>
  <si>
    <t xml:space="preserve">Ivana </t>
  </si>
  <si>
    <t>Morello</t>
  </si>
  <si>
    <t>Moreno</t>
  </si>
  <si>
    <t>Fernanda</t>
  </si>
  <si>
    <t>Morris</t>
  </si>
  <si>
    <t>11.896.498-5</t>
  </si>
  <si>
    <t xml:space="preserve">Macarena </t>
  </si>
  <si>
    <t>Munita</t>
  </si>
  <si>
    <t>Musalem</t>
  </si>
  <si>
    <t xml:space="preserve">Miguel </t>
  </si>
  <si>
    <t>Nahuelcoy</t>
  </si>
  <si>
    <t>7.567.783-9</t>
  </si>
  <si>
    <t xml:space="preserve">Patricio </t>
  </si>
  <si>
    <t>Novoa</t>
  </si>
  <si>
    <t xml:space="preserve">Carlos </t>
  </si>
  <si>
    <t>Obaid</t>
  </si>
  <si>
    <t xml:space="preserve">Daniel </t>
  </si>
  <si>
    <t>Perez</t>
  </si>
  <si>
    <t>7.010.598-5</t>
  </si>
  <si>
    <t>Sebastián</t>
  </si>
  <si>
    <t>Pero</t>
  </si>
  <si>
    <t>9.898.235-3</t>
  </si>
  <si>
    <t xml:space="preserve">Sebastian </t>
  </si>
  <si>
    <t>Pinto</t>
  </si>
  <si>
    <t>16.079.566-2</t>
  </si>
  <si>
    <t xml:space="preserve">Gilson </t>
  </si>
  <si>
    <t xml:space="preserve">Quevedo </t>
  </si>
  <si>
    <t xml:space="preserve">Karín </t>
  </si>
  <si>
    <t>Rettig</t>
  </si>
  <si>
    <t>8.529.366-4</t>
  </si>
  <si>
    <t xml:space="preserve">Raúl </t>
  </si>
  <si>
    <t>Rivas</t>
  </si>
  <si>
    <t>9.480.327-6</t>
  </si>
  <si>
    <t>Roca</t>
  </si>
  <si>
    <t>28.753.929-0</t>
  </si>
  <si>
    <t xml:space="preserve">Cesar </t>
  </si>
  <si>
    <t>Rojas</t>
  </si>
  <si>
    <t>7.456.991-9</t>
  </si>
  <si>
    <t xml:space="preserve">Alberto </t>
  </si>
  <si>
    <t>Rosenzweig</t>
  </si>
  <si>
    <t>6.884.954-3</t>
  </si>
  <si>
    <t xml:space="preserve">Renato </t>
  </si>
  <si>
    <t>Salvatierra</t>
  </si>
  <si>
    <t>15.362.977-3</t>
  </si>
  <si>
    <t>Schon</t>
  </si>
  <si>
    <t>9.369.339-6</t>
  </si>
  <si>
    <t>Isidoro</t>
  </si>
  <si>
    <t>Silva</t>
  </si>
  <si>
    <t>Pablo</t>
  </si>
  <si>
    <t>Soffiato</t>
  </si>
  <si>
    <t xml:space="preserve">Richard </t>
  </si>
  <si>
    <t>Sutherland</t>
  </si>
  <si>
    <t>15.719.895-5</t>
  </si>
  <si>
    <t xml:space="preserve">Federico </t>
  </si>
  <si>
    <t>Torres</t>
  </si>
  <si>
    <t xml:space="preserve">Pedro Pablo </t>
  </si>
  <si>
    <t>10.238.723-6</t>
  </si>
  <si>
    <t xml:space="preserve">Dino </t>
  </si>
  <si>
    <t>Troni</t>
  </si>
  <si>
    <t>5.788.362-6</t>
  </si>
  <si>
    <t>Valenzuela</t>
  </si>
  <si>
    <t>25.293.332-8</t>
  </si>
  <si>
    <t>Moisés</t>
  </si>
  <si>
    <t>Velíz Martínez</t>
  </si>
  <si>
    <t>25.476.961-4</t>
  </si>
  <si>
    <t>Villalobos</t>
  </si>
  <si>
    <t>9.975.406-0</t>
  </si>
  <si>
    <t>von Chrismar</t>
  </si>
  <si>
    <t>7.053.621-8</t>
  </si>
  <si>
    <t xml:space="preserve">Juan Carlos   </t>
  </si>
  <si>
    <t>von Unger</t>
  </si>
  <si>
    <t>15.338.118-6</t>
  </si>
  <si>
    <t xml:space="preserve">Karen </t>
  </si>
  <si>
    <t>Zarate</t>
  </si>
  <si>
    <t>7.106.907-9</t>
  </si>
  <si>
    <t xml:space="preserve">Ely </t>
  </si>
  <si>
    <t>Zegers</t>
  </si>
  <si>
    <t>10.308,990-5</t>
  </si>
  <si>
    <t>Zurita</t>
  </si>
  <si>
    <t>13.835.216-1</t>
  </si>
  <si>
    <t>Francisco</t>
  </si>
  <si>
    <t>Montero</t>
  </si>
  <si>
    <t xml:space="preserve">Farellones Full Moon </t>
  </si>
  <si>
    <t>Portillo  IDA</t>
  </si>
  <si>
    <t>Quilapilun - La Dormida</t>
  </si>
  <si>
    <t>Quilapilun - La Dormida.gpx</t>
  </si>
  <si>
    <t>Tiltil - Caleu - Quebrada Alvarado - Niño Dios (Bis)</t>
  </si>
  <si>
    <t>Manuel Rodriguez Til Til - El Oregano - Niño Dios.gpx</t>
  </si>
  <si>
    <t>Manuel Rodriguez - Til Til</t>
  </si>
  <si>
    <t xml:space="preserve">Leonardo </t>
  </si>
  <si>
    <t>Lobato</t>
  </si>
  <si>
    <t>18.220.062-k</t>
  </si>
  <si>
    <t>10.160.334-2</t>
  </si>
  <si>
    <t>Álvaro</t>
  </si>
  <si>
    <t>Larco</t>
  </si>
  <si>
    <t>Simonetti</t>
  </si>
  <si>
    <t>Guajardo</t>
  </si>
  <si>
    <t>13.240.303-1</t>
  </si>
  <si>
    <t>7.212.090-0</t>
  </si>
  <si>
    <t>8.546.622-4</t>
  </si>
  <si>
    <t>14.148.513-k</t>
  </si>
  <si>
    <t>11.741.692-5</t>
  </si>
  <si>
    <t>15.720.618-4</t>
  </si>
  <si>
    <t>25.293.314-k</t>
  </si>
  <si>
    <t>13.209.775-5</t>
  </si>
  <si>
    <t>7.840.203-2</t>
  </si>
  <si>
    <t>15.959.545-5</t>
  </si>
  <si>
    <t>11.648.183-9</t>
  </si>
  <si>
    <t>10.522.681-0</t>
  </si>
  <si>
    <t>16.126.127-0</t>
  </si>
  <si>
    <t>8.459.653-1</t>
  </si>
  <si>
    <t>8.713.352-4</t>
  </si>
  <si>
    <t>10.548.107-1</t>
  </si>
  <si>
    <t>7.109.273-9</t>
  </si>
  <si>
    <t>11.836.707-3</t>
  </si>
  <si>
    <t>12.928.471-4</t>
  </si>
  <si>
    <t>9.976.077-K</t>
  </si>
  <si>
    <t>7.250.144-6</t>
  </si>
  <si>
    <t>15.661.137-9</t>
  </si>
  <si>
    <t>7.194.204-K</t>
  </si>
  <si>
    <t>23.267.753-8</t>
  </si>
  <si>
    <t>6.902.317-7</t>
  </si>
  <si>
    <t>11.391.042-9</t>
  </si>
  <si>
    <t>8.327.118-3</t>
  </si>
  <si>
    <t>12.239.638-K</t>
  </si>
  <si>
    <t>27.150.755-0</t>
  </si>
  <si>
    <t>Base Chacabuco - Cuesta La Dormida - Cuesta Chacabuco</t>
  </si>
  <si>
    <t>Base Chacabuco</t>
  </si>
  <si>
    <t>Melipilla - Matanzas</t>
  </si>
  <si>
    <t>Melipilla</t>
  </si>
  <si>
    <t>68 Ribs - Ibacache - Casa Blanca - Cuesta Zapata</t>
  </si>
  <si>
    <t>Paseo Santo Domingo</t>
  </si>
  <si>
    <t>5 Cuestas - Lo Prado - Barriga - Mallarauco - Barriga - Lo Prado</t>
  </si>
  <si>
    <t>Aurora - Cuesta Barriga - Cuesta Mallarauco - Chorombo</t>
  </si>
  <si>
    <t>68 Ribs - Pangue - Casablanca - La Playa - Cuesta Zapata - 68 Ribs</t>
  </si>
  <si>
    <t>Giro al Sur</t>
  </si>
  <si>
    <t>68 RIBS</t>
  </si>
  <si>
    <t>Shell Ruta 68</t>
  </si>
  <si>
    <t>Alternativa</t>
  </si>
  <si>
    <t>Vizcachas a Lo Valdés</t>
  </si>
  <si>
    <t>Vizcachas - Toyo - Lagunillas</t>
  </si>
  <si>
    <t>Aurora - Chorombo Alto - Mallarauco - Barriga - Aurora</t>
  </si>
  <si>
    <t>R</t>
  </si>
  <si>
    <t>M</t>
  </si>
  <si>
    <t>C</t>
  </si>
  <si>
    <t>Giro Zapallar</t>
  </si>
  <si>
    <t>https://www.strava.com/routes/3283543710152062118</t>
  </si>
  <si>
    <t>10.652.669-9</t>
  </si>
  <si>
    <t>Los Leños</t>
  </si>
  <si>
    <t>Los Leños - Pangue - Casa Blanca - Cuesta Zapata - Los Leños</t>
  </si>
  <si>
    <t>Los Leños - Pangue - casa blanca - Geronimo - cuesta zapata</t>
  </si>
  <si>
    <t>Quintay</t>
  </si>
  <si>
    <t>Lo Prado - Ibacache -Quintay</t>
  </si>
  <si>
    <t>Lo Prado - Ibacache -Quintay  ( Ristretto + Macchiato).gpx</t>
  </si>
  <si>
    <t>10.680.661-6</t>
  </si>
  <si>
    <t>Max</t>
  </si>
  <si>
    <t>Spiess</t>
  </si>
  <si>
    <t>10.203.205-5</t>
  </si>
  <si>
    <t>Rolando</t>
  </si>
  <si>
    <t>Libra</t>
  </si>
  <si>
    <t>15.899.064-4</t>
  </si>
  <si>
    <t>Daniela</t>
  </si>
  <si>
    <t>Salgado</t>
  </si>
  <si>
    <t>13.642.444-0</t>
  </si>
  <si>
    <t>Mario</t>
  </si>
  <si>
    <t>Gutiérrez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</si>
</sst>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2">
    <font>
      <sz val="11"/>
      <name val="Carlito"/>
    </font>
    <font>
      <b/>
      <sz val="11"/>
      <color rgb="FF000000"/>
      <name val="Carlito"/>
    </font>
    <font>
      <u/>
      <sz val="11"/>
      <color theme="10"/>
      <name val="Carlito"/>
    </font>
    <font>
      <b/>
      <sz val="11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E6E6E6"/>
      </left>
      <right style="thin">
        <color rgb="FFE6E6E6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6" fillId="0" borderId="0"/>
    <xf numFmtId="0" fontId="10" fillId="0" borderId="0"/>
    <xf numFmtId="0" fontId="11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2" fillId="0" borderId="0" xfId="1"/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4" fillId="0" borderId="9" xfId="0" applyFont="1" applyBorder="1"/>
    <xf numFmtId="0" fontId="5" fillId="0" borderId="9" xfId="0" applyFont="1" applyBorder="1" applyAlignment="1">
      <alignment horizontal="left"/>
    </xf>
    <xf numFmtId="3" fontId="5" fillId="0" borderId="9" xfId="0" applyNumberFormat="1" applyFont="1" applyBorder="1"/>
    <xf numFmtId="0" fontId="5" fillId="0" borderId="9" xfId="0" applyFont="1" applyBorder="1"/>
    <xf numFmtId="0" fontId="7" fillId="0" borderId="9" xfId="0" applyFont="1" applyBorder="1" applyAlignment="1">
      <alignment horizontal="left"/>
    </xf>
    <xf numFmtId="0" fontId="2" fillId="0" borderId="9" xfId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6" fillId="0" borderId="6" xfId="2" applyBorder="1"/>
    <xf numFmtId="0" fontId="9" fillId="0" borderId="6" xfId="2" applyFont="1" applyBorder="1"/>
    <xf numFmtId="0" fontId="6" fillId="0" borderId="10" xfId="0" applyFont="1" applyBorder="1" applyAlignment="1">
      <alignment horizontal="center"/>
    </xf>
    <xf numFmtId="0" fontId="9" fillId="0" borderId="6" xfId="2" applyFont="1" applyBorder="1" applyAlignment="1">
      <alignment horizontal="left"/>
    </xf>
    <xf numFmtId="0" fontId="6" fillId="3" borderId="6" xfId="2" applyFill="1" applyBorder="1"/>
    <xf numFmtId="0" fontId="9" fillId="3" borderId="6" xfId="2" applyFont="1" applyFill="1" applyBorder="1"/>
    <xf numFmtId="0" fontId="0" fillId="0" borderId="11" xfId="0" applyBorder="1"/>
    <xf numFmtId="0" fontId="10" fillId="0" borderId="0" xfId="3"/>
  </cellXfs>
  <cellStyles count="5">
    <cellStyle name="Hipervínculo" xfId="1" builtinId="8"/>
    <cellStyle name="Hipervínculo 2" xfId="4" xr:uid="{2ADD6C65-4FEF-8F41-AA49-4A2649FD6AE7}"/>
    <cellStyle name="Normal" xfId="0" builtinId="0"/>
    <cellStyle name="Normal 2" xfId="3" xr:uid="{AF76E3C8-AC21-4141-B18F-0F75B547BB36}"/>
    <cellStyle name="Normal 3 2" xfId="2" xr:uid="{3B3660B6-36B2-6C4C-8FC4-3C86933582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trava.com/routes/3434277444604589832" TargetMode="External"/><Relationship Id="rId21" Type="http://schemas.openxmlformats.org/officeDocument/2006/relationships/hyperlink" Target="https://www.strava.com/routes/3437995719268011878" TargetMode="External"/><Relationship Id="rId42" Type="http://schemas.openxmlformats.org/officeDocument/2006/relationships/hyperlink" Target="https://www.strava.com/routes/3360094577399793880" TargetMode="External"/><Relationship Id="rId47" Type="http://schemas.openxmlformats.org/officeDocument/2006/relationships/hyperlink" Target="https://www.strava.com/routes/3547364261272700544" TargetMode="External"/><Relationship Id="rId63" Type="http://schemas.openxmlformats.org/officeDocument/2006/relationships/hyperlink" Target="https://www.strava.com/routes/3497256481997457368" TargetMode="External"/><Relationship Id="rId68" Type="http://schemas.openxmlformats.org/officeDocument/2006/relationships/hyperlink" Target="https://www.strava.com/routes/3147370661340098498" TargetMode="External"/><Relationship Id="rId2" Type="http://schemas.openxmlformats.org/officeDocument/2006/relationships/hyperlink" Target="https://www.strava.com/routes/3361191594009946606" TargetMode="External"/><Relationship Id="rId16" Type="http://schemas.openxmlformats.org/officeDocument/2006/relationships/hyperlink" Target="https://www.strava.com/routes/3384167544915616856" TargetMode="External"/><Relationship Id="rId29" Type="http://schemas.openxmlformats.org/officeDocument/2006/relationships/hyperlink" Target="https://www.strava.com/routes/2921779823437514684" TargetMode="External"/><Relationship Id="rId11" Type="http://schemas.openxmlformats.org/officeDocument/2006/relationships/hyperlink" Target="https://www.strava.com/routes/3158400013423630470" TargetMode="External"/><Relationship Id="rId24" Type="http://schemas.openxmlformats.org/officeDocument/2006/relationships/hyperlink" Target="https://www.strava.com/routes/3414553136020338090" TargetMode="External"/><Relationship Id="rId32" Type="http://schemas.openxmlformats.org/officeDocument/2006/relationships/hyperlink" Target="https://www.strava.com/routes/3350886847118088952" TargetMode="External"/><Relationship Id="rId37" Type="http://schemas.openxmlformats.org/officeDocument/2006/relationships/hyperlink" Target="https://www.strava.com/routes/3484699465342144398" TargetMode="External"/><Relationship Id="rId40" Type="http://schemas.openxmlformats.org/officeDocument/2006/relationships/hyperlink" Target="https://www.strava.com/routes/2893591328570391102" TargetMode="External"/><Relationship Id="rId45" Type="http://schemas.openxmlformats.org/officeDocument/2006/relationships/hyperlink" Target="https://www.strava.com/routes/3513706981803296238" TargetMode="External"/><Relationship Id="rId53" Type="http://schemas.openxmlformats.org/officeDocument/2006/relationships/hyperlink" Target="https://www.strava.com/routes/3416965730122919902" TargetMode="External"/><Relationship Id="rId58" Type="http://schemas.openxmlformats.org/officeDocument/2006/relationships/hyperlink" Target="https://www.strava.com/routes/3383095561676274200" TargetMode="External"/><Relationship Id="rId66" Type="http://schemas.openxmlformats.org/officeDocument/2006/relationships/hyperlink" Target="https://www.strava.com/routes/3283543710152062118" TargetMode="External"/><Relationship Id="rId74" Type="http://schemas.openxmlformats.org/officeDocument/2006/relationships/hyperlink" Target="https://www.strava.com/routes/3343553426172514788" TargetMode="External"/><Relationship Id="rId5" Type="http://schemas.openxmlformats.org/officeDocument/2006/relationships/hyperlink" Target="https://www.strava.com/routes/3333265148908755658" TargetMode="External"/><Relationship Id="rId61" Type="http://schemas.openxmlformats.org/officeDocument/2006/relationships/hyperlink" Target="https://www.strava.com/routes/3547367505658122880" TargetMode="External"/><Relationship Id="rId19" Type="http://schemas.openxmlformats.org/officeDocument/2006/relationships/hyperlink" Target="https://www.strava.com/routes/3102314345119364742" TargetMode="External"/><Relationship Id="rId14" Type="http://schemas.openxmlformats.org/officeDocument/2006/relationships/hyperlink" Target="https://www.strava.com/routes/2934579737217096112" TargetMode="External"/><Relationship Id="rId22" Type="http://schemas.openxmlformats.org/officeDocument/2006/relationships/hyperlink" Target="https://www.strava.com/routes/3437989609682303794" TargetMode="External"/><Relationship Id="rId27" Type="http://schemas.openxmlformats.org/officeDocument/2006/relationships/hyperlink" Target="https://www.strava.com/routes/3221671572641912738" TargetMode="External"/><Relationship Id="rId30" Type="http://schemas.openxmlformats.org/officeDocument/2006/relationships/hyperlink" Target="https://www.strava.com/routes/3437984466678439730" TargetMode="External"/><Relationship Id="rId35" Type="http://schemas.openxmlformats.org/officeDocument/2006/relationships/hyperlink" Target="https://www.strava.com/routes/3371266037396733478" TargetMode="External"/><Relationship Id="rId43" Type="http://schemas.openxmlformats.org/officeDocument/2006/relationships/hyperlink" Target="https://www.strava.com/routes/3513704230623704122" TargetMode="External"/><Relationship Id="rId48" Type="http://schemas.openxmlformats.org/officeDocument/2006/relationships/hyperlink" Target="https://www.strava.com/routes/3513709096816785466" TargetMode="External"/><Relationship Id="rId56" Type="http://schemas.openxmlformats.org/officeDocument/2006/relationships/hyperlink" Target="https://www.strava.com/routes/3320509227686172060" TargetMode="External"/><Relationship Id="rId64" Type="http://schemas.openxmlformats.org/officeDocument/2006/relationships/hyperlink" Target="https://www.strava.com/routes/3464278863776696174" TargetMode="External"/><Relationship Id="rId69" Type="http://schemas.openxmlformats.org/officeDocument/2006/relationships/hyperlink" Target="https://www.strava.com/routes/3547364261272700544" TargetMode="External"/><Relationship Id="rId8" Type="http://schemas.openxmlformats.org/officeDocument/2006/relationships/hyperlink" Target="https://www.strava.com/routes/3371266037396733478" TargetMode="External"/><Relationship Id="rId51" Type="http://schemas.openxmlformats.org/officeDocument/2006/relationships/hyperlink" Target="https://www.strava.com/routes/3071912851729141826" TargetMode="External"/><Relationship Id="rId72" Type="http://schemas.openxmlformats.org/officeDocument/2006/relationships/hyperlink" Target="https://www.strava.com/routes/3071912851729141826" TargetMode="External"/><Relationship Id="rId3" Type="http://schemas.openxmlformats.org/officeDocument/2006/relationships/hyperlink" Target="https://www.strava.com/routes/3437110365576045568" TargetMode="External"/><Relationship Id="rId12" Type="http://schemas.openxmlformats.org/officeDocument/2006/relationships/hyperlink" Target="https://www.strava.com/routes/3343553426172514788" TargetMode="External"/><Relationship Id="rId17" Type="http://schemas.openxmlformats.org/officeDocument/2006/relationships/hyperlink" Target="https://www.strava.com/routes/3360094577399793880" TargetMode="External"/><Relationship Id="rId25" Type="http://schemas.openxmlformats.org/officeDocument/2006/relationships/hyperlink" Target="https://www.strava.com/routes/3361191594009946606" TargetMode="External"/><Relationship Id="rId33" Type="http://schemas.openxmlformats.org/officeDocument/2006/relationships/hyperlink" Target="https://www.strava.com/routes/3333265148908755658" TargetMode="External"/><Relationship Id="rId38" Type="http://schemas.openxmlformats.org/officeDocument/2006/relationships/hyperlink" Target="https://www.strava.com/routes/3361191594009946606" TargetMode="External"/><Relationship Id="rId46" Type="http://schemas.openxmlformats.org/officeDocument/2006/relationships/hyperlink" Target="https://www.strava.com/routes/3513709096812347450" TargetMode="External"/><Relationship Id="rId59" Type="http://schemas.openxmlformats.org/officeDocument/2006/relationships/hyperlink" Target="https://www.strava.com/routes/3283543710152062118" TargetMode="External"/><Relationship Id="rId67" Type="http://schemas.openxmlformats.org/officeDocument/2006/relationships/hyperlink" Target="https://www.strava.com/routes/3111691657569046886" TargetMode="External"/><Relationship Id="rId20" Type="http://schemas.openxmlformats.org/officeDocument/2006/relationships/hyperlink" Target="https://www.strava.com/routes/3437984466678439730" TargetMode="External"/><Relationship Id="rId41" Type="http://schemas.openxmlformats.org/officeDocument/2006/relationships/hyperlink" Target="https://www.strava.com/routes/3513706981794847214" TargetMode="External"/><Relationship Id="rId54" Type="http://schemas.openxmlformats.org/officeDocument/2006/relationships/hyperlink" Target="https://www.strava.com/routes/3303790489798693012" TargetMode="External"/><Relationship Id="rId62" Type="http://schemas.openxmlformats.org/officeDocument/2006/relationships/hyperlink" Target="https://www.strava.com/routes/2921779823437514684" TargetMode="External"/><Relationship Id="rId70" Type="http://schemas.openxmlformats.org/officeDocument/2006/relationships/hyperlink" Target="https://www.strava.com/routes/2921779823437514684" TargetMode="External"/><Relationship Id="rId1" Type="http://schemas.openxmlformats.org/officeDocument/2006/relationships/hyperlink" Target="https://www.strava.com/routes/3350886847118088952" TargetMode="External"/><Relationship Id="rId6" Type="http://schemas.openxmlformats.org/officeDocument/2006/relationships/hyperlink" Target="https://www.strava.com/routes/3437954682669553650" TargetMode="External"/><Relationship Id="rId15" Type="http://schemas.openxmlformats.org/officeDocument/2006/relationships/hyperlink" Target="https://www.strava.com/routes/3421990071423060296" TargetMode="External"/><Relationship Id="rId23" Type="http://schemas.openxmlformats.org/officeDocument/2006/relationships/hyperlink" Target="https://www.strava.com/routes/3484699465342144398" TargetMode="External"/><Relationship Id="rId28" Type="http://schemas.openxmlformats.org/officeDocument/2006/relationships/hyperlink" Target="https://www.strava.com/routes/3343553426172514788" TargetMode="External"/><Relationship Id="rId36" Type="http://schemas.openxmlformats.org/officeDocument/2006/relationships/hyperlink" Target="https://www.strava.com/routes/3221671572641912738" TargetMode="External"/><Relationship Id="rId49" Type="http://schemas.openxmlformats.org/officeDocument/2006/relationships/hyperlink" Target="https://www.strava.com/routes/3513722800973182692" TargetMode="External"/><Relationship Id="rId57" Type="http://schemas.openxmlformats.org/officeDocument/2006/relationships/hyperlink" Target="https://www.strava.com/routes/3111691657569046886" TargetMode="External"/><Relationship Id="rId10" Type="http://schemas.openxmlformats.org/officeDocument/2006/relationships/hyperlink" Target="https://www.strava.com/routes/3437970659683128532" TargetMode="External"/><Relationship Id="rId31" Type="http://schemas.openxmlformats.org/officeDocument/2006/relationships/hyperlink" Target="https://www.strava.com/routes/3102314345119364742" TargetMode="External"/><Relationship Id="rId44" Type="http://schemas.openxmlformats.org/officeDocument/2006/relationships/hyperlink" Target="https://www.strava.com/routes/3513709096811787322" TargetMode="External"/><Relationship Id="rId52" Type="http://schemas.openxmlformats.org/officeDocument/2006/relationships/hyperlink" Target="https://www.strava.com/routes/3445909655711752830" TargetMode="External"/><Relationship Id="rId60" Type="http://schemas.openxmlformats.org/officeDocument/2006/relationships/hyperlink" Target="https://www.strava.com/routes/3490497450891931286" TargetMode="External"/><Relationship Id="rId65" Type="http://schemas.openxmlformats.org/officeDocument/2006/relationships/hyperlink" Target="https://www.strava.com/routes/3200524191022383780" TargetMode="External"/><Relationship Id="rId73" Type="http://schemas.openxmlformats.org/officeDocument/2006/relationships/hyperlink" Target="https://www.strava.com/routes/3273283902131953118" TargetMode="External"/><Relationship Id="rId4" Type="http://schemas.openxmlformats.org/officeDocument/2006/relationships/hyperlink" Target="https://www.strava.com/routes/3414553136020338090" TargetMode="External"/><Relationship Id="rId9" Type="http://schemas.openxmlformats.org/officeDocument/2006/relationships/hyperlink" Target="https://www.strava.com/routes/3437970659683128532" TargetMode="External"/><Relationship Id="rId13" Type="http://schemas.openxmlformats.org/officeDocument/2006/relationships/hyperlink" Target="https://www.strava.com/routes/3335601587537110884" TargetMode="External"/><Relationship Id="rId18" Type="http://schemas.openxmlformats.org/officeDocument/2006/relationships/hyperlink" Target="https://www.strava.com/routes/3071912851729141826" TargetMode="External"/><Relationship Id="rId39" Type="http://schemas.openxmlformats.org/officeDocument/2006/relationships/hyperlink" Target="https://www.strava.com/routes/2893591328570391102" TargetMode="External"/><Relationship Id="rId34" Type="http://schemas.openxmlformats.org/officeDocument/2006/relationships/hyperlink" Target="https://www.strava.com/routes/3384167544915616856" TargetMode="External"/><Relationship Id="rId50" Type="http://schemas.openxmlformats.org/officeDocument/2006/relationships/hyperlink" Target="https://www.strava.com/routes/3513722800974790372" TargetMode="External"/><Relationship Id="rId55" Type="http://schemas.openxmlformats.org/officeDocument/2006/relationships/hyperlink" Target="https://www.strava.com/routes/3517150126223542342" TargetMode="External"/><Relationship Id="rId7" Type="http://schemas.openxmlformats.org/officeDocument/2006/relationships/hyperlink" Target="https://www.strava.com/routes/2893591328570391102" TargetMode="External"/><Relationship Id="rId71" Type="http://schemas.openxmlformats.org/officeDocument/2006/relationships/hyperlink" Target="https://www.strava.com/routes/334355342617251478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lay.cl/moves/all/clp/67be238f0a446ac455f9fb1317405141917354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topLeftCell="A39" zoomScale="118" workbookViewId="0">
      <pane xSplit="1" topLeftCell="B1" activePane="topRight" state="frozen"/>
      <selection pane="topRight" activeCell="H52" sqref="H52"/>
    </sheetView>
  </sheetViews>
  <sheetFormatPr baseColWidth="10" defaultColWidth="8.83203125" defaultRowHeight="15"/>
  <cols>
    <col min="1" max="1" width="14" style="6" customWidth="1"/>
    <col min="2" max="2" width="18" customWidth="1"/>
    <col min="3" max="3" width="53.1640625" customWidth="1"/>
    <col min="4" max="4" width="24" customWidth="1"/>
    <col min="5" max="7" width="9.33203125" bestFit="1" customWidth="1"/>
    <col min="8" max="8" width="49.5" bestFit="1" customWidth="1"/>
    <col min="9" max="9" width="7.83203125" bestFit="1" customWidth="1"/>
    <col min="10" max="10" width="10.83203125" bestFit="1" customWidth="1"/>
    <col min="11" max="11" width="16.33203125" bestFit="1" customWidth="1"/>
    <col min="12" max="12" width="23.5" bestFit="1" customWidth="1"/>
    <col min="13" max="13" width="17.1640625" bestFit="1" customWidth="1"/>
  </cols>
  <sheetData>
    <row r="1" spans="1:13" ht="37.25" customHeight="1">
      <c r="A1" s="6" t="s">
        <v>0</v>
      </c>
      <c r="B1" s="1" t="s">
        <v>1</v>
      </c>
      <c r="C1" s="1" t="s">
        <v>2</v>
      </c>
      <c r="D1" s="1" t="s">
        <v>3</v>
      </c>
      <c r="E1" s="1" t="s">
        <v>370</v>
      </c>
      <c r="F1" s="1" t="s">
        <v>371</v>
      </c>
      <c r="G1" s="1" t="s">
        <v>372</v>
      </c>
      <c r="H1" s="1" t="s">
        <v>4</v>
      </c>
      <c r="I1" s="8" t="s">
        <v>38</v>
      </c>
      <c r="J1" s="8" t="s">
        <v>39</v>
      </c>
      <c r="K1" s="8" t="s">
        <v>40</v>
      </c>
      <c r="L1" s="9" t="s">
        <v>41</v>
      </c>
      <c r="M1" s="9" t="s">
        <v>42</v>
      </c>
    </row>
    <row r="2" spans="1:13">
      <c r="A2" s="6">
        <v>46025</v>
      </c>
      <c r="B2" t="s">
        <v>5</v>
      </c>
      <c r="C2" t="s">
        <v>7</v>
      </c>
      <c r="D2" t="s">
        <v>26</v>
      </c>
      <c r="E2" s="7" t="s">
        <v>36</v>
      </c>
      <c r="F2" s="7" t="str">
        <f>E2</f>
        <v>Strava</v>
      </c>
      <c r="G2" s="7" t="str">
        <f>F2</f>
        <v>Strava</v>
      </c>
      <c r="H2" s="2" t="s">
        <v>49</v>
      </c>
    </row>
    <row r="3" spans="1:13">
      <c r="A3" s="6">
        <v>46032</v>
      </c>
      <c r="B3" t="s">
        <v>5</v>
      </c>
      <c r="C3" t="s">
        <v>8</v>
      </c>
      <c r="D3" t="s">
        <v>27</v>
      </c>
      <c r="E3" s="7" t="s">
        <v>36</v>
      </c>
      <c r="F3" s="7" t="str">
        <f t="shared" ref="F3:G3" si="0">E3</f>
        <v>Strava</v>
      </c>
      <c r="G3" s="7" t="str">
        <f t="shared" si="0"/>
        <v>Strava</v>
      </c>
      <c r="H3" s="4" t="s">
        <v>50</v>
      </c>
    </row>
    <row r="4" spans="1:13">
      <c r="A4" s="6">
        <v>46039</v>
      </c>
      <c r="B4" t="s">
        <v>5</v>
      </c>
      <c r="C4" t="s">
        <v>9</v>
      </c>
      <c r="D4" t="s">
        <v>28</v>
      </c>
      <c r="E4" s="7" t="s">
        <v>36</v>
      </c>
      <c r="F4" s="7" t="str">
        <f t="shared" ref="F4:G4" si="1">E4</f>
        <v>Strava</v>
      </c>
      <c r="G4" s="7" t="str">
        <f t="shared" si="1"/>
        <v>Strava</v>
      </c>
      <c r="H4" s="4" t="s">
        <v>51</v>
      </c>
    </row>
    <row r="5" spans="1:13">
      <c r="A5" s="6">
        <v>46046</v>
      </c>
      <c r="B5" t="s">
        <v>5</v>
      </c>
      <c r="C5" t="s">
        <v>10</v>
      </c>
      <c r="D5" t="s">
        <v>29</v>
      </c>
      <c r="E5" s="7" t="s">
        <v>36</v>
      </c>
      <c r="F5" s="7" t="str">
        <f t="shared" ref="F5:G5" si="2">E5</f>
        <v>Strava</v>
      </c>
      <c r="G5" s="7" t="str">
        <f t="shared" si="2"/>
        <v>Strava</v>
      </c>
      <c r="H5" s="4" t="s">
        <v>52</v>
      </c>
    </row>
    <row r="6" spans="1:13">
      <c r="A6" s="6">
        <v>46053</v>
      </c>
      <c r="B6" t="s">
        <v>5</v>
      </c>
      <c r="C6" t="s">
        <v>11</v>
      </c>
      <c r="D6" t="s">
        <v>26</v>
      </c>
      <c r="E6" s="7" t="s">
        <v>36</v>
      </c>
      <c r="F6" s="7" t="str">
        <f t="shared" ref="F6:G6" si="3">E6</f>
        <v>Strava</v>
      </c>
      <c r="G6" s="7" t="str">
        <f t="shared" si="3"/>
        <v>Strava</v>
      </c>
      <c r="H6" s="4" t="s">
        <v>53</v>
      </c>
    </row>
    <row r="7" spans="1:13">
      <c r="A7" s="6">
        <v>46060</v>
      </c>
      <c r="B7" t="s">
        <v>5</v>
      </c>
      <c r="C7" t="s">
        <v>12</v>
      </c>
      <c r="D7" t="s">
        <v>26</v>
      </c>
      <c r="E7" s="7" t="s">
        <v>36</v>
      </c>
      <c r="F7" s="7" t="str">
        <f t="shared" ref="F7:G7" si="4">E7</f>
        <v>Strava</v>
      </c>
      <c r="G7" s="7" t="str">
        <f t="shared" si="4"/>
        <v>Strava</v>
      </c>
      <c r="H7" s="4" t="s">
        <v>54</v>
      </c>
    </row>
    <row r="8" spans="1:13">
      <c r="A8" s="6">
        <v>46067</v>
      </c>
      <c r="B8" t="s">
        <v>5</v>
      </c>
      <c r="C8" t="s">
        <v>13</v>
      </c>
      <c r="D8" t="s">
        <v>27</v>
      </c>
      <c r="E8" s="7" t="s">
        <v>36</v>
      </c>
      <c r="F8" s="7" t="str">
        <f t="shared" ref="F8:G8" si="5">E8</f>
        <v>Strava</v>
      </c>
      <c r="G8" s="7" t="str">
        <f t="shared" si="5"/>
        <v>Strava</v>
      </c>
      <c r="H8" s="4" t="s">
        <v>55</v>
      </c>
    </row>
    <row r="9" spans="1:13">
      <c r="A9" s="6">
        <v>46074</v>
      </c>
      <c r="B9" t="s">
        <v>5</v>
      </c>
      <c r="C9" t="s">
        <v>14</v>
      </c>
      <c r="D9" t="s">
        <v>30</v>
      </c>
      <c r="E9" s="7" t="s">
        <v>36</v>
      </c>
      <c r="F9" s="7" t="str">
        <f t="shared" ref="F9:G9" si="6">E9</f>
        <v>Strava</v>
      </c>
      <c r="G9" s="7" t="str">
        <f t="shared" si="6"/>
        <v>Strava</v>
      </c>
      <c r="H9" s="4" t="s">
        <v>56</v>
      </c>
    </row>
    <row r="10" spans="1:13">
      <c r="A10" s="6">
        <v>46080</v>
      </c>
      <c r="B10" t="s">
        <v>6</v>
      </c>
      <c r="C10" t="s">
        <v>310</v>
      </c>
      <c r="D10" t="s">
        <v>310</v>
      </c>
      <c r="E10" s="7" t="s">
        <v>36</v>
      </c>
      <c r="F10" s="7" t="str">
        <f t="shared" ref="F10:G10" si="7">E10</f>
        <v>Strava</v>
      </c>
      <c r="G10" s="7" t="str">
        <f t="shared" si="7"/>
        <v>Strava</v>
      </c>
      <c r="H10" s="4" t="s">
        <v>57</v>
      </c>
    </row>
    <row r="11" spans="1:13">
      <c r="A11" s="6">
        <v>46081</v>
      </c>
      <c r="B11" t="s">
        <v>6</v>
      </c>
      <c r="C11" t="s">
        <v>310</v>
      </c>
      <c r="D11" t="s">
        <v>310</v>
      </c>
      <c r="E11" s="7" t="s">
        <v>36</v>
      </c>
      <c r="F11" s="7" t="str">
        <f t="shared" ref="F11:G11" si="8">E11</f>
        <v>Strava</v>
      </c>
      <c r="G11" s="7" t="str">
        <f t="shared" si="8"/>
        <v>Strava</v>
      </c>
      <c r="H11" s="4" t="s">
        <v>57</v>
      </c>
    </row>
    <row r="12" spans="1:13">
      <c r="A12" s="6">
        <v>46088</v>
      </c>
      <c r="B12" t="s">
        <v>5</v>
      </c>
      <c r="C12" t="s">
        <v>15</v>
      </c>
      <c r="D12" t="s">
        <v>28</v>
      </c>
      <c r="E12" s="7" t="s">
        <v>36</v>
      </c>
      <c r="F12" s="7" t="str">
        <f t="shared" ref="F12:G12" si="9">E12</f>
        <v>Strava</v>
      </c>
      <c r="G12" s="7" t="str">
        <f t="shared" si="9"/>
        <v>Strava</v>
      </c>
      <c r="H12" s="4" t="s">
        <v>58</v>
      </c>
    </row>
    <row r="13" spans="1:13">
      <c r="A13" s="6">
        <v>46095</v>
      </c>
      <c r="B13" t="s">
        <v>5</v>
      </c>
      <c r="C13" t="s">
        <v>16</v>
      </c>
      <c r="D13" t="s">
        <v>31</v>
      </c>
      <c r="E13" s="7" t="s">
        <v>36</v>
      </c>
      <c r="F13" s="7" t="str">
        <f t="shared" ref="F13:G13" si="10">E13</f>
        <v>Strava</v>
      </c>
      <c r="G13" s="7" t="str">
        <f t="shared" si="10"/>
        <v>Strava</v>
      </c>
      <c r="H13" s="4" t="s">
        <v>43</v>
      </c>
    </row>
    <row r="14" spans="1:13">
      <c r="A14" s="6">
        <v>46102</v>
      </c>
      <c r="B14" t="s">
        <v>5</v>
      </c>
      <c r="C14" t="s">
        <v>311</v>
      </c>
      <c r="D14" t="s">
        <v>32</v>
      </c>
      <c r="E14" s="7" t="s">
        <v>36</v>
      </c>
      <c r="F14" s="7" t="str">
        <f t="shared" ref="F14:G14" si="11">E14</f>
        <v>Strava</v>
      </c>
      <c r="G14" s="7" t="str">
        <f t="shared" si="11"/>
        <v>Strava</v>
      </c>
      <c r="H14" s="4" t="s">
        <v>59</v>
      </c>
    </row>
    <row r="15" spans="1:13">
      <c r="A15" s="6">
        <v>46109</v>
      </c>
      <c r="B15" t="s">
        <v>5</v>
      </c>
      <c r="C15" t="s">
        <v>17</v>
      </c>
      <c r="D15" t="s">
        <v>29</v>
      </c>
      <c r="E15" s="7" t="s">
        <v>36</v>
      </c>
      <c r="F15" s="7" t="str">
        <f t="shared" ref="F15:G15" si="12">E15</f>
        <v>Strava</v>
      </c>
      <c r="G15" s="7" t="str">
        <f t="shared" si="12"/>
        <v>Strava</v>
      </c>
      <c r="H15" s="4" t="s">
        <v>60</v>
      </c>
    </row>
    <row r="16" spans="1:13">
      <c r="A16" s="6">
        <v>45750</v>
      </c>
      <c r="B16" t="s">
        <v>5</v>
      </c>
      <c r="C16" t="s">
        <v>45</v>
      </c>
      <c r="D16" t="s">
        <v>31</v>
      </c>
      <c r="E16" s="7" t="s">
        <v>36</v>
      </c>
      <c r="F16" s="7" t="str">
        <f t="shared" ref="F16:G16" si="13">E16</f>
        <v>Strava</v>
      </c>
      <c r="G16" s="7" t="str">
        <f t="shared" si="13"/>
        <v>Strava</v>
      </c>
      <c r="H16" s="4" t="s">
        <v>61</v>
      </c>
    </row>
    <row r="17" spans="1:8">
      <c r="A17" s="6">
        <v>46123</v>
      </c>
      <c r="B17" t="s">
        <v>5</v>
      </c>
      <c r="C17" t="s">
        <v>18</v>
      </c>
      <c r="D17" t="s">
        <v>33</v>
      </c>
      <c r="E17" s="7" t="s">
        <v>36</v>
      </c>
      <c r="F17" s="7" t="str">
        <f t="shared" ref="F17:G17" si="14">E17</f>
        <v>Strava</v>
      </c>
      <c r="G17" s="7" t="str">
        <f t="shared" si="14"/>
        <v>Strava</v>
      </c>
      <c r="H17" s="4" t="s">
        <v>62</v>
      </c>
    </row>
    <row r="18" spans="1:8">
      <c r="A18" s="6">
        <v>46130</v>
      </c>
      <c r="B18" t="s">
        <v>5</v>
      </c>
      <c r="C18" t="s">
        <v>19</v>
      </c>
      <c r="D18" t="s">
        <v>26</v>
      </c>
      <c r="E18" s="7" t="s">
        <v>36</v>
      </c>
      <c r="F18" s="7" t="str">
        <f t="shared" ref="F18:G18" si="15">E18</f>
        <v>Strava</v>
      </c>
      <c r="G18" s="7" t="str">
        <f t="shared" si="15"/>
        <v>Strava</v>
      </c>
      <c r="H18" s="4" t="s">
        <v>63</v>
      </c>
    </row>
    <row r="19" spans="1:8">
      <c r="A19" s="6">
        <v>46137</v>
      </c>
      <c r="B19" t="s">
        <v>5</v>
      </c>
      <c r="C19" t="s">
        <v>10</v>
      </c>
      <c r="D19" t="s">
        <v>29</v>
      </c>
      <c r="E19" s="7" t="s">
        <v>36</v>
      </c>
      <c r="F19" s="7" t="str">
        <f t="shared" ref="F19:G19" si="16">E19</f>
        <v>Strava</v>
      </c>
      <c r="G19" s="7" t="str">
        <f t="shared" si="16"/>
        <v>Strava</v>
      </c>
      <c r="H19" s="4" t="s">
        <v>52</v>
      </c>
    </row>
    <row r="20" spans="1:8">
      <c r="A20" s="6">
        <v>46143</v>
      </c>
      <c r="B20" t="s">
        <v>5</v>
      </c>
      <c r="C20" t="s">
        <v>312</v>
      </c>
      <c r="D20" t="s">
        <v>27</v>
      </c>
      <c r="E20" s="7" t="s">
        <v>36</v>
      </c>
      <c r="F20" s="7" t="str">
        <f t="shared" ref="F20:G20" si="17">E20</f>
        <v>Strava</v>
      </c>
      <c r="G20" s="7" t="str">
        <f t="shared" si="17"/>
        <v>Strava</v>
      </c>
      <c r="H20" s="4" t="s">
        <v>313</v>
      </c>
    </row>
    <row r="21" spans="1:8">
      <c r="A21" s="6">
        <v>46150</v>
      </c>
      <c r="B21" t="s">
        <v>6</v>
      </c>
      <c r="C21" t="s">
        <v>46</v>
      </c>
      <c r="D21" t="s">
        <v>46</v>
      </c>
      <c r="E21" t="s">
        <v>37</v>
      </c>
      <c r="F21" s="7" t="str">
        <f t="shared" ref="F21:G21" si="18">E21</f>
        <v>Por definir</v>
      </c>
      <c r="G21" s="7" t="str">
        <f t="shared" si="18"/>
        <v>Por definir</v>
      </c>
      <c r="H21" s="4" t="s">
        <v>70</v>
      </c>
    </row>
    <row r="22" spans="1:8">
      <c r="A22" s="6">
        <v>46151</v>
      </c>
      <c r="B22" t="s">
        <v>6</v>
      </c>
      <c r="C22" t="s">
        <v>47</v>
      </c>
      <c r="D22" t="s">
        <v>47</v>
      </c>
      <c r="E22" t="s">
        <v>37</v>
      </c>
      <c r="F22" s="7" t="str">
        <f t="shared" ref="F22:G22" si="19">E22</f>
        <v>Por definir</v>
      </c>
      <c r="G22" s="7" t="str">
        <f t="shared" si="19"/>
        <v>Por definir</v>
      </c>
      <c r="H22" s="4" t="s">
        <v>70</v>
      </c>
    </row>
    <row r="23" spans="1:8">
      <c r="A23" s="6">
        <v>46152</v>
      </c>
      <c r="B23" t="s">
        <v>6</v>
      </c>
      <c r="C23" t="s">
        <v>48</v>
      </c>
      <c r="D23" t="s">
        <v>48</v>
      </c>
      <c r="E23" t="s">
        <v>37</v>
      </c>
      <c r="F23" s="7" t="str">
        <f t="shared" ref="F23:G23" si="20">E23</f>
        <v>Por definir</v>
      </c>
      <c r="G23" s="7" t="str">
        <f t="shared" si="20"/>
        <v>Por definir</v>
      </c>
      <c r="H23" s="4" t="s">
        <v>70</v>
      </c>
    </row>
    <row r="24" spans="1:8">
      <c r="A24" s="6">
        <v>46151</v>
      </c>
      <c r="B24" t="s">
        <v>5</v>
      </c>
      <c r="C24" t="s">
        <v>16</v>
      </c>
      <c r="D24" t="s">
        <v>31</v>
      </c>
      <c r="E24" s="7" t="s">
        <v>36</v>
      </c>
      <c r="F24" s="7" t="str">
        <f t="shared" ref="F24:G24" si="21">E24</f>
        <v>Strava</v>
      </c>
      <c r="G24" s="7" t="str">
        <f t="shared" si="21"/>
        <v>Strava</v>
      </c>
      <c r="H24" s="4" t="s">
        <v>43</v>
      </c>
    </row>
    <row r="25" spans="1:8">
      <c r="A25" s="6">
        <v>46158</v>
      </c>
      <c r="B25" t="s">
        <v>5</v>
      </c>
      <c r="C25" t="s">
        <v>314</v>
      </c>
      <c r="D25" t="s">
        <v>316</v>
      </c>
      <c r="E25" s="7" t="s">
        <v>36</v>
      </c>
      <c r="F25" s="7" t="str">
        <f t="shared" ref="F25:G25" si="22">E25</f>
        <v>Strava</v>
      </c>
      <c r="G25" s="7" t="str">
        <f t="shared" si="22"/>
        <v>Strava</v>
      </c>
      <c r="H25" s="4" t="s">
        <v>315</v>
      </c>
    </row>
    <row r="26" spans="1:8">
      <c r="A26" s="6">
        <v>46165</v>
      </c>
      <c r="B26" t="s">
        <v>5</v>
      </c>
      <c r="C26" t="s">
        <v>21</v>
      </c>
      <c r="D26" t="s">
        <v>35</v>
      </c>
      <c r="E26" s="7" t="s">
        <v>36</v>
      </c>
      <c r="F26" s="7" t="str">
        <f t="shared" ref="F26:G26" si="23">E26</f>
        <v>Strava</v>
      </c>
      <c r="G26" s="7" t="str">
        <f t="shared" si="23"/>
        <v>Strava</v>
      </c>
      <c r="H26" s="4" t="s">
        <v>65</v>
      </c>
    </row>
    <row r="27" spans="1:8">
      <c r="A27" s="6">
        <v>46172</v>
      </c>
      <c r="B27" t="s">
        <v>5</v>
      </c>
      <c r="C27" t="s">
        <v>22</v>
      </c>
      <c r="D27" t="s">
        <v>365</v>
      </c>
      <c r="E27" s="7" t="s">
        <v>36</v>
      </c>
      <c r="F27" s="7" t="str">
        <f t="shared" ref="F27:G27" si="24">E27</f>
        <v>Strava</v>
      </c>
      <c r="G27" s="7" t="str">
        <f t="shared" si="24"/>
        <v>Strava</v>
      </c>
      <c r="H27" s="4" t="s">
        <v>64</v>
      </c>
    </row>
    <row r="28" spans="1:8">
      <c r="A28" s="6">
        <v>46179</v>
      </c>
      <c r="B28" t="s">
        <v>5</v>
      </c>
      <c r="C28" t="s">
        <v>354</v>
      </c>
      <c r="D28" t="s">
        <v>355</v>
      </c>
      <c r="E28" s="7" t="s">
        <v>36</v>
      </c>
      <c r="F28" s="7" t="str">
        <f t="shared" ref="F28:G28" si="25">E28</f>
        <v>Strava</v>
      </c>
      <c r="G28" s="7" t="str">
        <f t="shared" si="25"/>
        <v>Strava</v>
      </c>
      <c r="H28" s="4" t="s">
        <v>66</v>
      </c>
    </row>
    <row r="29" spans="1:8">
      <c r="A29" s="6">
        <v>46186</v>
      </c>
      <c r="B29" t="s">
        <v>5</v>
      </c>
      <c r="C29" t="s">
        <v>23</v>
      </c>
      <c r="D29" t="s">
        <v>30</v>
      </c>
      <c r="E29" s="7" t="s">
        <v>36</v>
      </c>
      <c r="F29" s="7" t="str">
        <f t="shared" ref="F29:G29" si="26">E29</f>
        <v>Strava</v>
      </c>
      <c r="G29" s="7" t="str">
        <f t="shared" si="26"/>
        <v>Strava</v>
      </c>
      <c r="H29" s="4" t="s">
        <v>67</v>
      </c>
    </row>
    <row r="30" spans="1:8">
      <c r="A30" s="6">
        <v>46193</v>
      </c>
      <c r="B30" t="s">
        <v>5</v>
      </c>
      <c r="C30" t="s">
        <v>24</v>
      </c>
      <c r="D30" t="s">
        <v>31</v>
      </c>
      <c r="E30" s="7" t="s">
        <v>36</v>
      </c>
      <c r="F30" s="7" t="str">
        <f t="shared" ref="F30:G30" si="27">E30</f>
        <v>Strava</v>
      </c>
      <c r="G30" s="7" t="str">
        <f t="shared" si="27"/>
        <v>Strava</v>
      </c>
      <c r="H30" s="4" t="s">
        <v>68</v>
      </c>
    </row>
    <row r="31" spans="1:8">
      <c r="A31" s="6">
        <v>46200</v>
      </c>
      <c r="B31" t="s">
        <v>6</v>
      </c>
      <c r="C31" t="s">
        <v>25</v>
      </c>
      <c r="D31" t="s">
        <v>25</v>
      </c>
      <c r="E31" t="s">
        <v>37</v>
      </c>
      <c r="F31" s="7" t="str">
        <f t="shared" ref="F31:G31" si="28">E31</f>
        <v>Por definir</v>
      </c>
      <c r="G31" s="7" t="str">
        <f t="shared" si="28"/>
        <v>Por definir</v>
      </c>
      <c r="H31" s="4" t="s">
        <v>70</v>
      </c>
    </row>
    <row r="32" spans="1:8">
      <c r="A32" s="6">
        <v>46201</v>
      </c>
      <c r="B32" t="s">
        <v>6</v>
      </c>
      <c r="C32" t="s">
        <v>25</v>
      </c>
      <c r="D32" t="s">
        <v>25</v>
      </c>
      <c r="E32" t="s">
        <v>37</v>
      </c>
      <c r="F32" s="7" t="str">
        <f t="shared" ref="F32:G32" si="29">E32</f>
        <v>Por definir</v>
      </c>
      <c r="G32" s="7" t="str">
        <f t="shared" si="29"/>
        <v>Por definir</v>
      </c>
      <c r="H32" s="4" t="s">
        <v>70</v>
      </c>
    </row>
    <row r="33" spans="1:8">
      <c r="A33" s="6">
        <v>46202</v>
      </c>
      <c r="B33" t="s">
        <v>6</v>
      </c>
      <c r="C33" t="s">
        <v>25</v>
      </c>
      <c r="D33" t="s">
        <v>25</v>
      </c>
      <c r="E33" t="s">
        <v>37</v>
      </c>
      <c r="F33" s="7" t="str">
        <f t="shared" ref="F33:G33" si="30">E33</f>
        <v>Por definir</v>
      </c>
      <c r="G33" s="7" t="str">
        <f t="shared" si="30"/>
        <v>Por definir</v>
      </c>
      <c r="H33" s="4" t="s">
        <v>70</v>
      </c>
    </row>
    <row r="34" spans="1:8">
      <c r="A34" s="6">
        <v>46207</v>
      </c>
      <c r="B34" t="s">
        <v>5</v>
      </c>
      <c r="C34" t="s">
        <v>20</v>
      </c>
      <c r="D34" t="s">
        <v>34</v>
      </c>
      <c r="E34" s="7" t="s">
        <v>36</v>
      </c>
      <c r="F34" s="7" t="str">
        <f t="shared" ref="F34:G34" si="31">E34</f>
        <v>Strava</v>
      </c>
      <c r="G34" s="7" t="str">
        <f t="shared" si="31"/>
        <v>Strava</v>
      </c>
      <c r="H34" s="4" t="s">
        <v>69</v>
      </c>
    </row>
    <row r="35" spans="1:8">
      <c r="A35" s="6">
        <v>46214</v>
      </c>
      <c r="B35" t="s">
        <v>5</v>
      </c>
      <c r="C35" t="s">
        <v>8</v>
      </c>
      <c r="D35" t="s">
        <v>27</v>
      </c>
      <c r="E35" s="7" t="s">
        <v>36</v>
      </c>
      <c r="F35" s="7" t="str">
        <f t="shared" ref="F35:G35" si="32">E35</f>
        <v>Strava</v>
      </c>
      <c r="G35" s="7" t="str">
        <f t="shared" si="32"/>
        <v>Strava</v>
      </c>
      <c r="H35" s="4" t="s">
        <v>44</v>
      </c>
    </row>
    <row r="36" spans="1:8">
      <c r="A36" s="6">
        <v>46207</v>
      </c>
      <c r="B36" s="3" t="s">
        <v>6</v>
      </c>
      <c r="C36" s="3" t="s">
        <v>356</v>
      </c>
      <c r="D36" s="3" t="s">
        <v>357</v>
      </c>
      <c r="E36" s="7" t="s">
        <v>36</v>
      </c>
      <c r="F36" s="7" t="str">
        <f t="shared" ref="F36:G36" si="33">E36</f>
        <v>Strava</v>
      </c>
      <c r="G36" s="7" t="str">
        <f t="shared" si="33"/>
        <v>Strava</v>
      </c>
      <c r="H36" s="3" t="s">
        <v>356</v>
      </c>
    </row>
    <row r="37" spans="1:8">
      <c r="A37" s="6">
        <v>46214</v>
      </c>
      <c r="B37" s="3" t="s">
        <v>5</v>
      </c>
      <c r="C37" s="29" t="s">
        <v>361</v>
      </c>
      <c r="D37" s="3" t="s">
        <v>26</v>
      </c>
      <c r="E37" s="7" t="s">
        <v>36</v>
      </c>
      <c r="F37" s="7" t="str">
        <f t="shared" ref="F37:G37" si="34">E37</f>
        <v>Strava</v>
      </c>
      <c r="G37" s="7" t="str">
        <f t="shared" si="34"/>
        <v>Strava</v>
      </c>
      <c r="H37" s="29" t="s">
        <v>361</v>
      </c>
    </row>
    <row r="38" spans="1:8">
      <c r="A38" s="6">
        <v>46221</v>
      </c>
      <c r="B38" s="3" t="s">
        <v>5</v>
      </c>
      <c r="C38" s="3" t="s">
        <v>8</v>
      </c>
      <c r="D38" t="s">
        <v>27</v>
      </c>
      <c r="E38" s="7" t="s">
        <v>36</v>
      </c>
      <c r="F38" s="7" t="str">
        <f t="shared" ref="F38:G38" si="35">E38</f>
        <v>Strava</v>
      </c>
      <c r="G38" s="7" t="str">
        <f t="shared" si="35"/>
        <v>Strava</v>
      </c>
      <c r="H38" s="4" t="s">
        <v>44</v>
      </c>
    </row>
    <row r="39" spans="1:8">
      <c r="A39" s="6">
        <v>46228</v>
      </c>
      <c r="B39" t="s">
        <v>5</v>
      </c>
      <c r="C39" t="s">
        <v>11</v>
      </c>
      <c r="D39" t="s">
        <v>26</v>
      </c>
      <c r="E39" s="7" t="s">
        <v>36</v>
      </c>
      <c r="F39" s="7" t="str">
        <f t="shared" ref="F39:G39" si="36">E39</f>
        <v>Strava</v>
      </c>
      <c r="G39" s="7" t="str">
        <f t="shared" si="36"/>
        <v>Strava</v>
      </c>
      <c r="H39" s="4" t="s">
        <v>53</v>
      </c>
    </row>
    <row r="40" spans="1:8">
      <c r="A40" s="6">
        <v>46235</v>
      </c>
      <c r="B40" s="3" t="s">
        <v>5</v>
      </c>
      <c r="C40" s="3" t="s">
        <v>358</v>
      </c>
      <c r="D40" s="3" t="s">
        <v>364</v>
      </c>
      <c r="E40" s="7" t="s">
        <v>36</v>
      </c>
      <c r="F40" s="7" t="str">
        <f t="shared" ref="F40" si="37">E40</f>
        <v>Strava</v>
      </c>
      <c r="G40" s="7" t="s">
        <v>36</v>
      </c>
      <c r="H40" s="3" t="s">
        <v>358</v>
      </c>
    </row>
    <row r="41" spans="1:8">
      <c r="A41" s="6">
        <v>46242</v>
      </c>
      <c r="B41" s="3" t="s">
        <v>6</v>
      </c>
      <c r="C41" s="3" t="s">
        <v>359</v>
      </c>
      <c r="D41" s="3" t="s">
        <v>70</v>
      </c>
      <c r="E41" t="s">
        <v>37</v>
      </c>
      <c r="F41" s="7" t="str">
        <f t="shared" ref="F41:G41" si="38">E41</f>
        <v>Por definir</v>
      </c>
      <c r="G41" s="7" t="str">
        <f t="shared" si="38"/>
        <v>Por definir</v>
      </c>
      <c r="H41" s="4" t="s">
        <v>70</v>
      </c>
    </row>
    <row r="42" spans="1:8">
      <c r="A42" s="6">
        <v>46249</v>
      </c>
      <c r="B42" s="3" t="s">
        <v>5</v>
      </c>
      <c r="C42" s="3" t="s">
        <v>45</v>
      </c>
      <c r="D42" t="s">
        <v>31</v>
      </c>
      <c r="E42" s="7" t="s">
        <v>36</v>
      </c>
      <c r="F42" s="7" t="str">
        <f t="shared" ref="F42" si="39">E42</f>
        <v>Strava</v>
      </c>
      <c r="G42" s="7" t="s">
        <v>36</v>
      </c>
      <c r="H42" s="4" t="s">
        <v>61</v>
      </c>
    </row>
    <row r="43" spans="1:8">
      <c r="A43" s="6">
        <v>46256</v>
      </c>
      <c r="B43" s="3" t="s">
        <v>5</v>
      </c>
      <c r="C43" s="3" t="s">
        <v>360</v>
      </c>
      <c r="D43" s="3" t="s">
        <v>365</v>
      </c>
      <c r="E43" s="7" t="s">
        <v>36</v>
      </c>
      <c r="F43" s="7" t="str">
        <f t="shared" ref="F43" si="40">E43</f>
        <v>Strava</v>
      </c>
      <c r="G43" s="7" t="s">
        <v>36</v>
      </c>
      <c r="H43" s="3" t="s">
        <v>360</v>
      </c>
    </row>
    <row r="44" spans="1:8">
      <c r="A44" s="6">
        <v>46263</v>
      </c>
      <c r="B44" s="3" t="s">
        <v>5</v>
      </c>
      <c r="C44" t="s">
        <v>21</v>
      </c>
      <c r="D44" t="s">
        <v>35</v>
      </c>
      <c r="E44" s="7" t="s">
        <v>36</v>
      </c>
      <c r="F44" s="7" t="str">
        <f t="shared" ref="F44:G45" si="41">E44</f>
        <v>Strava</v>
      </c>
      <c r="G44" s="7" t="s">
        <v>36</v>
      </c>
      <c r="H44" s="4" t="s">
        <v>65</v>
      </c>
    </row>
    <row r="45" spans="1:8">
      <c r="A45" s="6">
        <v>46270</v>
      </c>
      <c r="B45" t="s">
        <v>5</v>
      </c>
      <c r="C45" t="s">
        <v>22</v>
      </c>
      <c r="D45" t="s">
        <v>365</v>
      </c>
      <c r="E45" s="7" t="s">
        <v>36</v>
      </c>
      <c r="F45" s="7" t="str">
        <f t="shared" si="41"/>
        <v>Strava</v>
      </c>
      <c r="G45" s="7" t="str">
        <f t="shared" si="41"/>
        <v>Strava</v>
      </c>
      <c r="H45" s="4" t="s">
        <v>64</v>
      </c>
    </row>
    <row r="46" spans="1:8">
      <c r="A46" s="6">
        <v>46277</v>
      </c>
      <c r="B46" t="s">
        <v>5</v>
      </c>
      <c r="C46" s="5" t="s">
        <v>14</v>
      </c>
      <c r="D46" t="s">
        <v>30</v>
      </c>
      <c r="E46" s="7" t="s">
        <v>36</v>
      </c>
      <c r="F46" s="7" t="str">
        <f t="shared" ref="F46" si="42">E46</f>
        <v>Strava</v>
      </c>
      <c r="G46" s="7" t="s">
        <v>36</v>
      </c>
      <c r="H46" s="4" t="s">
        <v>56</v>
      </c>
    </row>
    <row r="47" spans="1:8">
      <c r="A47" s="6">
        <v>46284</v>
      </c>
      <c r="B47" t="s">
        <v>5</v>
      </c>
      <c r="C47" t="s">
        <v>13</v>
      </c>
      <c r="D47" t="s">
        <v>27</v>
      </c>
      <c r="E47" s="7" t="s">
        <v>36</v>
      </c>
      <c r="F47" s="7" t="str">
        <f t="shared" ref="F47" si="43">E47</f>
        <v>Strava</v>
      </c>
      <c r="G47" s="7" t="s">
        <v>36</v>
      </c>
      <c r="H47" s="4" t="s">
        <v>55</v>
      </c>
    </row>
    <row r="48" spans="1:8">
      <c r="A48" s="6">
        <v>46291</v>
      </c>
      <c r="B48" t="s">
        <v>5</v>
      </c>
      <c r="C48" t="s">
        <v>19</v>
      </c>
      <c r="D48" t="s">
        <v>26</v>
      </c>
      <c r="E48" s="7" t="s">
        <v>36</v>
      </c>
      <c r="F48" s="7" t="str">
        <f t="shared" ref="F48" si="44">E48</f>
        <v>Strava</v>
      </c>
      <c r="G48" s="7" t="s">
        <v>36</v>
      </c>
      <c r="H48" s="4" t="s">
        <v>63</v>
      </c>
    </row>
    <row r="49" spans="1:8">
      <c r="A49" s="6">
        <v>46298</v>
      </c>
      <c r="B49" t="s">
        <v>5</v>
      </c>
      <c r="C49" t="s">
        <v>368</v>
      </c>
      <c r="D49" s="28" t="s">
        <v>29</v>
      </c>
      <c r="E49" s="7" t="s">
        <v>36</v>
      </c>
      <c r="F49" s="7" t="str">
        <f t="shared" ref="F49:G50" si="45">E49</f>
        <v>Strava</v>
      </c>
      <c r="G49" s="7" t="s">
        <v>374</v>
      </c>
      <c r="H49" t="s">
        <v>368</v>
      </c>
    </row>
    <row r="50" spans="1:8">
      <c r="A50" s="6">
        <v>46305</v>
      </c>
      <c r="B50" t="s">
        <v>6</v>
      </c>
      <c r="C50" t="s">
        <v>373</v>
      </c>
      <c r="D50" t="s">
        <v>70</v>
      </c>
      <c r="E50" t="s">
        <v>37</v>
      </c>
      <c r="F50" s="7" t="str">
        <f t="shared" si="45"/>
        <v>Por definir</v>
      </c>
      <c r="G50" s="7" t="str">
        <f t="shared" si="45"/>
        <v>Por definir</v>
      </c>
      <c r="H50" s="4" t="s">
        <v>70</v>
      </c>
    </row>
    <row r="51" spans="1:8">
      <c r="A51" s="6">
        <v>46312</v>
      </c>
      <c r="B51" t="s">
        <v>5</v>
      </c>
      <c r="C51" t="s">
        <v>314</v>
      </c>
      <c r="D51" t="s">
        <v>316</v>
      </c>
      <c r="E51" s="7" t="s">
        <v>36</v>
      </c>
      <c r="F51" s="7" t="str">
        <f t="shared" ref="F51" si="46">E51</f>
        <v>Strava</v>
      </c>
      <c r="G51" s="7" t="s">
        <v>36</v>
      </c>
      <c r="H51" s="4" t="s">
        <v>315</v>
      </c>
    </row>
    <row r="52" spans="1:8">
      <c r="A52" s="6">
        <v>46319</v>
      </c>
      <c r="B52" t="s">
        <v>5</v>
      </c>
      <c r="C52" t="s">
        <v>377</v>
      </c>
      <c r="D52" t="s">
        <v>376</v>
      </c>
      <c r="E52" s="7" t="s">
        <v>36</v>
      </c>
      <c r="F52" s="7" t="str">
        <f t="shared" ref="F52:F53" si="47">E52</f>
        <v>Strava</v>
      </c>
      <c r="G52" s="7" t="s">
        <v>36</v>
      </c>
      <c r="H52" t="s">
        <v>378</v>
      </c>
    </row>
    <row r="53" spans="1:8">
      <c r="A53" s="6">
        <v>46326</v>
      </c>
      <c r="B53" t="s">
        <v>5</v>
      </c>
      <c r="C53" t="s">
        <v>16</v>
      </c>
      <c r="D53" t="s">
        <v>31</v>
      </c>
      <c r="E53" s="7" t="s">
        <v>36</v>
      </c>
      <c r="F53" s="7" t="str">
        <f t="shared" si="47"/>
        <v>Strava</v>
      </c>
      <c r="G53" s="7" t="str">
        <f t="shared" ref="G53" si="48">F53</f>
        <v>Strava</v>
      </c>
      <c r="H53" s="4" t="s">
        <v>43</v>
      </c>
    </row>
    <row r="54" spans="1:8">
      <c r="A54" s="6">
        <v>46333</v>
      </c>
      <c r="B54" t="s">
        <v>6</v>
      </c>
      <c r="C54" t="s">
        <v>380</v>
      </c>
      <c r="D54" t="s">
        <v>379</v>
      </c>
      <c r="E54" s="7" t="s">
        <v>36</v>
      </c>
      <c r="F54" s="7" t="str">
        <f t="shared" ref="F54" si="49">E54</f>
        <v>Strava</v>
      </c>
      <c r="G54" s="7" t="s">
        <v>36</v>
      </c>
      <c r="H54" s="4" t="s">
        <v>381</v>
      </c>
    </row>
    <row r="55" spans="1:8">
      <c r="A55" s="6">
        <v>46340</v>
      </c>
      <c r="B55" t="s">
        <v>5</v>
      </c>
      <c r="C55" t="s">
        <v>23</v>
      </c>
      <c r="D55" t="s">
        <v>30</v>
      </c>
      <c r="E55" s="7" t="s">
        <v>36</v>
      </c>
      <c r="F55" s="7" t="str">
        <f t="shared" ref="F55:G55" si="50">E55</f>
        <v>Strava</v>
      </c>
      <c r="G55" s="7" t="str">
        <f t="shared" si="50"/>
        <v>Strava</v>
      </c>
      <c r="H55" s="4" t="s">
        <v>67</v>
      </c>
    </row>
    <row r="56" spans="1:8">
      <c r="A56" s="6">
        <v>46347</v>
      </c>
      <c r="B56" t="s">
        <v>5</v>
      </c>
      <c r="C56" t="s">
        <v>354</v>
      </c>
      <c r="D56" t="s">
        <v>355</v>
      </c>
      <c r="E56" s="7" t="s">
        <v>36</v>
      </c>
      <c r="F56" s="7" t="str">
        <f t="shared" ref="F56" si="51">E56</f>
        <v>Strava</v>
      </c>
      <c r="G56" s="7" t="s">
        <v>36</v>
      </c>
      <c r="H56" s="4" t="s">
        <v>66</v>
      </c>
    </row>
    <row r="57" spans="1:8">
      <c r="A57" s="6">
        <v>46354</v>
      </c>
      <c r="B57" t="s">
        <v>5</v>
      </c>
      <c r="C57" t="s">
        <v>362</v>
      </c>
      <c r="D57" t="s">
        <v>364</v>
      </c>
      <c r="E57" s="7" t="s">
        <v>36</v>
      </c>
      <c r="F57" s="7" t="str">
        <f t="shared" ref="F57" si="52">E57</f>
        <v>Strava</v>
      </c>
      <c r="G57" s="7" t="s">
        <v>36</v>
      </c>
      <c r="H57" t="s">
        <v>362</v>
      </c>
    </row>
    <row r="58" spans="1:8">
      <c r="A58" s="6">
        <v>46361</v>
      </c>
      <c r="B58" t="s">
        <v>6</v>
      </c>
      <c r="C58" t="s">
        <v>363</v>
      </c>
      <c r="D58" t="s">
        <v>70</v>
      </c>
      <c r="E58" t="s">
        <v>37</v>
      </c>
      <c r="F58" s="7" t="str">
        <f t="shared" ref="F58:G58" si="53">E58</f>
        <v>Por definir</v>
      </c>
      <c r="G58" s="7" t="str">
        <f t="shared" si="53"/>
        <v>Por definir</v>
      </c>
      <c r="H58" s="4" t="s">
        <v>70</v>
      </c>
    </row>
    <row r="59" spans="1:8">
      <c r="A59" s="6">
        <v>46362</v>
      </c>
      <c r="B59" t="s">
        <v>6</v>
      </c>
      <c r="C59" t="s">
        <v>363</v>
      </c>
      <c r="D59" t="s">
        <v>70</v>
      </c>
      <c r="E59" t="s">
        <v>37</v>
      </c>
      <c r="F59" s="7" t="str">
        <f t="shared" ref="F59:G59" si="54">E59</f>
        <v>Por definir</v>
      </c>
      <c r="G59" s="7" t="str">
        <f t="shared" si="54"/>
        <v>Por definir</v>
      </c>
      <c r="H59" s="4" t="s">
        <v>70</v>
      </c>
    </row>
    <row r="60" spans="1:8">
      <c r="A60" s="6">
        <v>46363</v>
      </c>
      <c r="B60" t="s">
        <v>6</v>
      </c>
      <c r="C60" t="s">
        <v>363</v>
      </c>
      <c r="D60" t="s">
        <v>70</v>
      </c>
      <c r="E60" t="s">
        <v>37</v>
      </c>
      <c r="F60" s="7" t="str">
        <f t="shared" ref="F60:G60" si="55">E60</f>
        <v>Por definir</v>
      </c>
      <c r="G60" s="7" t="str">
        <f t="shared" si="55"/>
        <v>Por definir</v>
      </c>
      <c r="H60" s="4" t="s">
        <v>70</v>
      </c>
    </row>
    <row r="61" spans="1:8">
      <c r="A61" s="6">
        <v>46361</v>
      </c>
      <c r="B61" t="s">
        <v>366</v>
      </c>
      <c r="C61" s="29" t="s">
        <v>369</v>
      </c>
      <c r="D61" t="s">
        <v>26</v>
      </c>
      <c r="E61" s="7" t="s">
        <v>36</v>
      </c>
      <c r="F61" s="7" t="str">
        <f t="shared" ref="F61" si="56">E61</f>
        <v>Strava</v>
      </c>
      <c r="G61" s="7" t="s">
        <v>36</v>
      </c>
      <c r="H61" s="29" t="s">
        <v>369</v>
      </c>
    </row>
    <row r="62" spans="1:8">
      <c r="A62" s="6">
        <v>46368</v>
      </c>
      <c r="B62" t="s">
        <v>5</v>
      </c>
      <c r="C62" s="29" t="s">
        <v>367</v>
      </c>
      <c r="D62" t="s">
        <v>29</v>
      </c>
      <c r="E62" s="7" t="s">
        <v>36</v>
      </c>
      <c r="F62" s="7" t="str">
        <f t="shared" ref="F62" si="57">E62</f>
        <v>Strava</v>
      </c>
      <c r="G62" s="7" t="s">
        <v>36</v>
      </c>
      <c r="H62" s="29" t="s">
        <v>367</v>
      </c>
    </row>
    <row r="63" spans="1:8">
      <c r="A63" s="6">
        <v>46375</v>
      </c>
      <c r="B63" t="s">
        <v>5</v>
      </c>
      <c r="C63" t="s">
        <v>13</v>
      </c>
      <c r="D63" t="s">
        <v>27</v>
      </c>
      <c r="E63" s="7" t="s">
        <v>36</v>
      </c>
      <c r="F63" s="7" t="str">
        <f t="shared" ref="F63" si="58">E63</f>
        <v>Strava</v>
      </c>
      <c r="G63" s="7" t="s">
        <v>36</v>
      </c>
      <c r="H63" s="4" t="s">
        <v>55</v>
      </c>
    </row>
    <row r="64" spans="1:8">
      <c r="A64" s="6">
        <v>46382</v>
      </c>
      <c r="B64" t="s">
        <v>5</v>
      </c>
      <c r="C64" t="s">
        <v>7</v>
      </c>
      <c r="D64" t="s">
        <v>26</v>
      </c>
      <c r="E64" s="7" t="s">
        <v>36</v>
      </c>
      <c r="F64" s="7" t="str">
        <f t="shared" ref="F64:F66" si="59">E64</f>
        <v>Strava</v>
      </c>
      <c r="G64" s="7" t="s">
        <v>36</v>
      </c>
      <c r="H64" s="2" t="s">
        <v>49</v>
      </c>
    </row>
    <row r="65" spans="1:8">
      <c r="A65" s="6">
        <v>46392</v>
      </c>
      <c r="B65" t="s">
        <v>5</v>
      </c>
      <c r="C65" t="s">
        <v>16</v>
      </c>
      <c r="D65" t="s">
        <v>31</v>
      </c>
      <c r="E65" s="7" t="s">
        <v>36</v>
      </c>
      <c r="F65" s="7" t="str">
        <f t="shared" si="59"/>
        <v>Strava</v>
      </c>
      <c r="G65" s="7" t="str">
        <f t="shared" ref="G65" si="60">F65</f>
        <v>Strava</v>
      </c>
      <c r="H65" s="4" t="s">
        <v>43</v>
      </c>
    </row>
    <row r="66" spans="1:8">
      <c r="A66" s="6">
        <v>46401</v>
      </c>
      <c r="B66" t="s">
        <v>5</v>
      </c>
      <c r="C66" t="s">
        <v>22</v>
      </c>
      <c r="D66" t="s">
        <v>365</v>
      </c>
      <c r="E66" s="7" t="s">
        <v>36</v>
      </c>
      <c r="F66" s="7" t="str">
        <f t="shared" si="59"/>
        <v>Strava</v>
      </c>
      <c r="G66" s="7" t="s">
        <v>36</v>
      </c>
      <c r="H66" s="4" t="s">
        <v>64</v>
      </c>
    </row>
  </sheetData>
  <hyperlinks>
    <hyperlink ref="E2" r:id="rId1" xr:uid="{1BC603E9-8F3C-1B4C-B98B-C8348C5B2A27}"/>
    <hyperlink ref="E3" r:id="rId2" xr:uid="{27AE9C91-6772-CA47-BE60-DDF58019329C}"/>
    <hyperlink ref="E4" r:id="rId3" xr:uid="{0B986BB8-6294-744E-B6DE-DE4230684E28}"/>
    <hyperlink ref="E5" r:id="rId4" xr:uid="{C2F55EC0-B43B-EF42-A7DD-0A852A8F4EB4}"/>
    <hyperlink ref="E6" r:id="rId5" xr:uid="{FBFF1A2D-FF60-F740-8254-D33DE47F161A}"/>
    <hyperlink ref="E7" r:id="rId6" xr:uid="{27213A23-6B91-4B40-BCA8-886AB8EACC0B}"/>
    <hyperlink ref="E8" r:id="rId7" xr:uid="{728DB272-F5D4-D04D-A6A6-7848735F0007}"/>
    <hyperlink ref="E9" r:id="rId8" xr:uid="{AAE5BC0C-927A-F94B-BDD8-AD86FF0EBEB8}"/>
    <hyperlink ref="E10" r:id="rId9" xr:uid="{96FC9626-62A3-BE43-AB71-E695FD5180E2}"/>
    <hyperlink ref="E11" r:id="rId10" xr:uid="{BFBA40F6-0240-2549-9F06-A2168F6C1790}"/>
    <hyperlink ref="E12" r:id="rId11" xr:uid="{06102E91-10BB-2F4E-95C2-E5174069EED6}"/>
    <hyperlink ref="E13" r:id="rId12" xr:uid="{15081155-5BD0-FF46-8E82-580E9DB64935}"/>
    <hyperlink ref="E14" r:id="rId13" xr:uid="{6F71C5BB-D8ED-8044-9515-842A6A908F6B}"/>
    <hyperlink ref="E15" r:id="rId14" xr:uid="{62334044-1C13-F641-A674-19EE529CE9F8}"/>
    <hyperlink ref="E17" r:id="rId15" xr:uid="{3218E005-879F-484B-8ABA-FB408ED074EC}"/>
    <hyperlink ref="E18" r:id="rId16" xr:uid="{8C3D73A9-BA68-E440-A32B-FD48021BF02A}"/>
    <hyperlink ref="E26" r:id="rId17" xr:uid="{08F674D1-A37E-0948-A845-AEEDBB346D24}"/>
    <hyperlink ref="E27" r:id="rId18" xr:uid="{AA54E826-70DE-CC45-998D-06FC31D1DDD0}"/>
    <hyperlink ref="E28" r:id="rId19" xr:uid="{7CC30E5B-2CD8-AB40-B4D7-C3C7DE75034F}"/>
    <hyperlink ref="E29" r:id="rId20" xr:uid="{30CE1ED5-38D9-794D-99A0-4169C9F63FB9}"/>
    <hyperlink ref="E30" r:id="rId21" xr:uid="{3C231A25-5D10-9E42-9424-03B487C9F031}"/>
    <hyperlink ref="E34" r:id="rId22" xr:uid="{7CBDAD5C-DF2C-FC4B-BA08-275AF964144A}"/>
    <hyperlink ref="E16" r:id="rId23" xr:uid="{35C172B7-7936-AF4E-B1C2-147C8E7867CA}"/>
    <hyperlink ref="E19" r:id="rId24" xr:uid="{08AE7119-345F-9D47-997F-67E247E970E5}"/>
    <hyperlink ref="E35" r:id="rId25" xr:uid="{13AFCAE5-A888-BD46-A83F-C77F11E366D7}"/>
    <hyperlink ref="E20" r:id="rId26" xr:uid="{8866888E-71DF-3944-9620-4E948829D43F}"/>
    <hyperlink ref="E25" r:id="rId27" xr:uid="{F67F5632-1B2B-C049-8C5C-D8F9CF9A87E3}"/>
    <hyperlink ref="E24" r:id="rId28" xr:uid="{F51A13EB-7897-0D42-A463-97945F82F47E}"/>
    <hyperlink ref="E54" r:id="rId29" xr:uid="{B1BBA9B4-EBD6-9343-BDD3-B3D8AA59AD32}"/>
    <hyperlink ref="E55" r:id="rId30" xr:uid="{BAEB0B98-6FB1-434C-B4D4-0C351FA1E8AA}"/>
    <hyperlink ref="E56" r:id="rId31" xr:uid="{A1058D29-89CB-8B47-A38D-E24CFFAD7387}"/>
    <hyperlink ref="E64" r:id="rId32" xr:uid="{0A9781F8-06DF-AD4B-8C0E-450CBD0E1ED5}"/>
    <hyperlink ref="E39" r:id="rId33" xr:uid="{5D621643-1857-6949-A5EE-8D21ACA6D173}"/>
    <hyperlink ref="E48" r:id="rId34" xr:uid="{28C15F8B-DF41-8E47-BE95-3FF9ADA04A9D}"/>
    <hyperlink ref="E46" r:id="rId35" xr:uid="{050206DA-2A1C-9247-B538-A6C21B74792C}"/>
    <hyperlink ref="E51" r:id="rId36" xr:uid="{DDF27CF3-067C-2C40-831B-B30E6A059FA4}"/>
    <hyperlink ref="E42" r:id="rId37" xr:uid="{5FE6AEA5-9829-0A4C-901D-15C508BE82B4}"/>
    <hyperlink ref="E38" r:id="rId38" xr:uid="{7D056CB1-8218-B047-8B01-6450203D5916}"/>
    <hyperlink ref="E47" r:id="rId39" xr:uid="{72C58610-12F4-3347-94C5-89094846F7BC}"/>
    <hyperlink ref="E63" r:id="rId40" xr:uid="{3081F97D-82DE-804B-AF13-E78A89A26914}"/>
    <hyperlink ref="E49" r:id="rId41" xr:uid="{9AEFB797-EACB-874E-98CC-22F5AB6C6FDF}"/>
    <hyperlink ref="E44" r:id="rId42" xr:uid="{6DE013C7-DC12-5045-8866-5F063A0E4BBC}"/>
    <hyperlink ref="E36" r:id="rId43" xr:uid="{8ABC89D8-C10E-0C45-833D-F730BBEC276D}"/>
    <hyperlink ref="E37" r:id="rId44" xr:uid="{610CEF98-CEDF-3B46-95F5-F415021045BC}"/>
    <hyperlink ref="E40" r:id="rId45" xr:uid="{2B098DA7-1C63-7346-BDC5-428B06DB46E4}"/>
    <hyperlink ref="E43" r:id="rId46" xr:uid="{E7F94F05-CCA9-B043-B789-CE3339CC6812}"/>
    <hyperlink ref="E52" r:id="rId47" xr:uid="{C00B5D1B-6D1B-5F46-9E19-728B32AD9191}"/>
    <hyperlink ref="E57" r:id="rId48" xr:uid="{C923ADC7-05BB-7744-8BF3-B3DF402E49A0}"/>
    <hyperlink ref="E61" r:id="rId49" xr:uid="{583CF50F-498E-0841-9BC9-5A9E3F837061}"/>
    <hyperlink ref="E62" r:id="rId50" xr:uid="{030FBD56-AB0C-764C-BC0B-06F85764D9FD}"/>
    <hyperlink ref="E45" r:id="rId51" xr:uid="{5BD7D123-7286-5A47-A0D9-8170243675C4}"/>
    <hyperlink ref="G40" r:id="rId52" xr:uid="{8B72540D-E184-594B-B7BB-931E8CE8066C}"/>
    <hyperlink ref="G42" r:id="rId53" xr:uid="{FF907A16-C49B-6940-9A49-5174184D91E8}"/>
    <hyperlink ref="G43" r:id="rId54" xr:uid="{80F54F31-0D14-BA40-9830-6A3A4B290D55}"/>
    <hyperlink ref="G44" r:id="rId55" xr:uid="{8D267D2E-3A23-4B48-B88F-051285D7BA36}"/>
    <hyperlink ref="G46" r:id="rId56" xr:uid="{361489AA-38BC-2442-A548-A3F7EDFC8002}"/>
    <hyperlink ref="G47" r:id="rId57" xr:uid="{5F56807E-FBB9-7144-8BED-5D4FB192A8EE}"/>
    <hyperlink ref="G48" r:id="rId58" xr:uid="{5363C3C8-9072-9A44-983D-1FD0E3428E68}"/>
    <hyperlink ref="G49" r:id="rId59" xr:uid="{549A2681-C267-8E45-844F-EF310CCCFDB2}"/>
    <hyperlink ref="G51" r:id="rId60" xr:uid="{63252D4C-E3AC-1148-8CA9-B56CCD344D36}"/>
    <hyperlink ref="G52" r:id="rId61" xr:uid="{98440C2B-FB64-3B47-868F-4D555F1A88B1}"/>
    <hyperlink ref="G54" r:id="rId62" xr:uid="{9C5D2F10-3E58-BB41-B927-BFF3018F1450}"/>
    <hyperlink ref="G56" r:id="rId63" xr:uid="{A7AA9CE7-D397-ED45-A134-D461653F928E}"/>
    <hyperlink ref="G57" r:id="rId64" xr:uid="{54BD7C89-AE76-544E-ACFF-B6F9DDAB007A}"/>
    <hyperlink ref="G61" r:id="rId65" xr:uid="{1A12B0E4-5936-BD49-B04D-141DE949D1CB}"/>
    <hyperlink ref="G62" r:id="rId66" xr:uid="{676807D1-D959-964B-B19D-ABBB412ECB83}"/>
    <hyperlink ref="G63" r:id="rId67" xr:uid="{55193CD3-AD02-9F4A-A96B-72D44533BB4F}"/>
    <hyperlink ref="G64" r:id="rId68" xr:uid="{D1B99FE7-3D04-C048-9F49-E9DE3DCBD207}"/>
    <hyperlink ref="F52" r:id="rId69" display="https://www.strava.com/routes/3547364261272700544" xr:uid="{17DDA6E6-A166-C34C-BA54-08DBE09B057A}"/>
    <hyperlink ref="F54" r:id="rId70" display="https://www.strava.com/routes/2921779823437514684" xr:uid="{A7312173-DDB6-D447-B1F7-15679E1CD753}"/>
    <hyperlink ref="E65" r:id="rId71" xr:uid="{90DE291A-38D6-E242-8D90-7C935A61EE70}"/>
    <hyperlink ref="E66" r:id="rId72" xr:uid="{D4478EC3-3290-4F43-90C2-5265AF0FBE32}"/>
    <hyperlink ref="G66" r:id="rId73" xr:uid="{F10A536E-ADAA-524A-AFC3-4934163DDF1A}"/>
    <hyperlink ref="E53" r:id="rId74" xr:uid="{FE6EEA27-F392-754C-91B9-6E47345C97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8C7-05A5-DA44-B969-9E41B832BB96}">
  <dimension ref="A1:E102"/>
  <sheetViews>
    <sheetView workbookViewId="0">
      <selection activeCell="C99" sqref="C99"/>
    </sheetView>
  </sheetViews>
  <sheetFormatPr baseColWidth="10" defaultRowHeight="15"/>
  <cols>
    <col min="1" max="1" width="7.1640625" bestFit="1" customWidth="1"/>
    <col min="2" max="2" width="14.6640625" bestFit="1" customWidth="1"/>
    <col min="3" max="3" width="12" bestFit="1" customWidth="1"/>
    <col min="4" max="4" width="12.6640625" bestFit="1" customWidth="1"/>
    <col min="5" max="5" width="12.1640625" bestFit="1" customWidth="1"/>
  </cols>
  <sheetData>
    <row r="1" spans="1:5">
      <c r="A1" s="10" t="s">
        <v>71</v>
      </c>
      <c r="B1" s="11" t="s">
        <v>72</v>
      </c>
      <c r="C1" s="12" t="s">
        <v>73</v>
      </c>
      <c r="D1" s="12" t="s">
        <v>74</v>
      </c>
      <c r="E1" s="13" t="s">
        <v>75</v>
      </c>
    </row>
    <row r="2" spans="1:5">
      <c r="A2" s="14">
        <v>1</v>
      </c>
      <c r="B2" s="15" t="s">
        <v>76</v>
      </c>
      <c r="C2" s="16" t="s">
        <v>77</v>
      </c>
      <c r="D2" s="16" t="s">
        <v>78</v>
      </c>
      <c r="E2" s="17" t="s">
        <v>79</v>
      </c>
    </row>
    <row r="3" spans="1:5">
      <c r="A3" s="14">
        <v>2</v>
      </c>
      <c r="B3" s="15" t="s">
        <v>76</v>
      </c>
      <c r="C3" s="16" t="s">
        <v>80</v>
      </c>
      <c r="D3" s="16" t="s">
        <v>81</v>
      </c>
      <c r="E3" s="17" t="s">
        <v>82</v>
      </c>
    </row>
    <row r="4" spans="1:5">
      <c r="A4" s="14">
        <v>3</v>
      </c>
      <c r="B4" s="15" t="s">
        <v>76</v>
      </c>
      <c r="C4" s="16" t="s">
        <v>83</v>
      </c>
      <c r="D4" s="18" t="s">
        <v>84</v>
      </c>
      <c r="E4" s="18" t="s">
        <v>85</v>
      </c>
    </row>
    <row r="5" spans="1:5">
      <c r="A5" s="14">
        <v>4</v>
      </c>
      <c r="B5" s="15" t="s">
        <v>76</v>
      </c>
      <c r="C5" s="16" t="s">
        <v>86</v>
      </c>
      <c r="D5" s="18" t="s">
        <v>87</v>
      </c>
      <c r="E5" s="18" t="s">
        <v>88</v>
      </c>
    </row>
    <row r="6" spans="1:5">
      <c r="A6" s="14">
        <v>5</v>
      </c>
      <c r="B6" s="15" t="s">
        <v>76</v>
      </c>
      <c r="C6" s="16" t="s">
        <v>89</v>
      </c>
      <c r="D6" s="18" t="s">
        <v>90</v>
      </c>
      <c r="E6" s="18" t="s">
        <v>91</v>
      </c>
    </row>
    <row r="7" spans="1:5">
      <c r="A7" s="14">
        <v>6</v>
      </c>
      <c r="B7" s="15" t="s">
        <v>76</v>
      </c>
      <c r="C7" s="16" t="s">
        <v>92</v>
      </c>
      <c r="D7" s="16" t="s">
        <v>93</v>
      </c>
      <c r="E7" s="16" t="s">
        <v>94</v>
      </c>
    </row>
    <row r="8" spans="1:5">
      <c r="A8" s="14">
        <v>7</v>
      </c>
      <c r="B8" s="15" t="s">
        <v>76</v>
      </c>
      <c r="C8" s="16" t="s">
        <v>95</v>
      </c>
      <c r="D8" s="16" t="s">
        <v>96</v>
      </c>
      <c r="E8" s="17" t="s">
        <v>97</v>
      </c>
    </row>
    <row r="9" spans="1:5">
      <c r="A9" s="14">
        <v>8</v>
      </c>
      <c r="B9" s="15" t="s">
        <v>76</v>
      </c>
      <c r="C9" s="16" t="s">
        <v>98</v>
      </c>
      <c r="D9" s="16" t="s">
        <v>99</v>
      </c>
      <c r="E9" s="17" t="s">
        <v>100</v>
      </c>
    </row>
    <row r="10" spans="1:5">
      <c r="A10" s="14">
        <v>9</v>
      </c>
      <c r="B10" s="15" t="s">
        <v>76</v>
      </c>
      <c r="C10" s="16" t="s">
        <v>101</v>
      </c>
      <c r="D10" s="18" t="s">
        <v>102</v>
      </c>
      <c r="E10" s="18" t="s">
        <v>103</v>
      </c>
    </row>
    <row r="11" spans="1:5">
      <c r="A11" s="14">
        <v>10</v>
      </c>
      <c r="B11" s="15" t="s">
        <v>76</v>
      </c>
      <c r="C11" s="16" t="s">
        <v>104</v>
      </c>
      <c r="D11" s="18" t="s">
        <v>105</v>
      </c>
      <c r="E11" s="18" t="s">
        <v>106</v>
      </c>
    </row>
    <row r="12" spans="1:5">
      <c r="A12" s="14">
        <v>11</v>
      </c>
      <c r="B12" s="15" t="s">
        <v>76</v>
      </c>
      <c r="C12" s="16" t="s">
        <v>107</v>
      </c>
      <c r="D12" s="16" t="s">
        <v>108</v>
      </c>
      <c r="E12" s="17" t="s">
        <v>109</v>
      </c>
    </row>
    <row r="13" spans="1:5">
      <c r="A13" s="14">
        <v>12</v>
      </c>
      <c r="B13" s="15" t="s">
        <v>76</v>
      </c>
      <c r="C13" s="16" t="s">
        <v>110</v>
      </c>
      <c r="D13" s="16" t="s">
        <v>111</v>
      </c>
      <c r="E13" s="17" t="s">
        <v>109</v>
      </c>
    </row>
    <row r="14" spans="1:5">
      <c r="A14" s="14">
        <v>13</v>
      </c>
      <c r="B14" s="15" t="s">
        <v>76</v>
      </c>
      <c r="C14" s="16" t="s">
        <v>112</v>
      </c>
      <c r="D14" s="16" t="s">
        <v>113</v>
      </c>
      <c r="E14" s="17" t="s">
        <v>114</v>
      </c>
    </row>
    <row r="15" spans="1:5">
      <c r="A15" s="14">
        <v>14</v>
      </c>
      <c r="B15" s="15" t="s">
        <v>76</v>
      </c>
      <c r="C15" s="16" t="s">
        <v>115</v>
      </c>
      <c r="D15" s="16" t="s">
        <v>116</v>
      </c>
      <c r="E15" s="17" t="s">
        <v>117</v>
      </c>
    </row>
    <row r="16" spans="1:5">
      <c r="A16" s="14">
        <v>15</v>
      </c>
      <c r="B16" s="15" t="s">
        <v>76</v>
      </c>
      <c r="C16" s="16" t="s">
        <v>118</v>
      </c>
      <c r="D16" s="16" t="s">
        <v>119</v>
      </c>
      <c r="E16" s="17" t="s">
        <v>120</v>
      </c>
    </row>
    <row r="17" spans="1:5">
      <c r="A17" s="14">
        <v>16</v>
      </c>
      <c r="B17" s="15" t="s">
        <v>76</v>
      </c>
      <c r="C17" s="16" t="s">
        <v>121</v>
      </c>
      <c r="D17" s="16" t="s">
        <v>122</v>
      </c>
      <c r="E17" s="17" t="s">
        <v>123</v>
      </c>
    </row>
    <row r="18" spans="1:5">
      <c r="A18" s="14">
        <v>17</v>
      </c>
      <c r="B18" s="15" t="s">
        <v>76</v>
      </c>
      <c r="C18" s="16" t="s">
        <v>124</v>
      </c>
      <c r="D18" s="16" t="s">
        <v>125</v>
      </c>
      <c r="E18" s="17" t="s">
        <v>126</v>
      </c>
    </row>
    <row r="19" spans="1:5">
      <c r="A19" s="14">
        <v>18</v>
      </c>
      <c r="B19" s="15" t="s">
        <v>76</v>
      </c>
      <c r="C19" s="16" t="s">
        <v>127</v>
      </c>
      <c r="D19" s="16" t="s">
        <v>128</v>
      </c>
      <c r="E19" s="17" t="s">
        <v>126</v>
      </c>
    </row>
    <row r="20" spans="1:5">
      <c r="A20" s="14">
        <v>19</v>
      </c>
      <c r="B20" s="15" t="s">
        <v>76</v>
      </c>
      <c r="C20" s="16" t="s">
        <v>129</v>
      </c>
      <c r="D20" s="16" t="s">
        <v>130</v>
      </c>
      <c r="E20" s="17" t="s">
        <v>131</v>
      </c>
    </row>
    <row r="21" spans="1:5">
      <c r="A21" s="14">
        <v>20</v>
      </c>
      <c r="B21" s="15" t="s">
        <v>76</v>
      </c>
      <c r="C21" s="16" t="s">
        <v>132</v>
      </c>
      <c r="D21" s="18" t="s">
        <v>133</v>
      </c>
      <c r="E21" s="18" t="s">
        <v>134</v>
      </c>
    </row>
    <row r="22" spans="1:5">
      <c r="A22" s="14">
        <v>21</v>
      </c>
      <c r="B22" s="15" t="s">
        <v>76</v>
      </c>
      <c r="C22" s="16" t="s">
        <v>135</v>
      </c>
      <c r="D22" s="18" t="s">
        <v>136</v>
      </c>
      <c r="E22" s="18" t="s">
        <v>137</v>
      </c>
    </row>
    <row r="23" spans="1:5">
      <c r="A23" s="14">
        <v>22</v>
      </c>
      <c r="B23" s="15" t="s">
        <v>76</v>
      </c>
      <c r="C23" s="16" t="s">
        <v>138</v>
      </c>
      <c r="D23" s="16" t="s">
        <v>139</v>
      </c>
      <c r="E23" s="17" t="s">
        <v>140</v>
      </c>
    </row>
    <row r="24" spans="1:5">
      <c r="A24" s="14">
        <v>23</v>
      </c>
      <c r="B24" s="15" t="s">
        <v>76</v>
      </c>
      <c r="C24" s="16" t="s">
        <v>141</v>
      </c>
      <c r="D24" s="16" t="s">
        <v>142</v>
      </c>
      <c r="E24" s="17" t="s">
        <v>143</v>
      </c>
    </row>
    <row r="25" spans="1:5">
      <c r="A25" s="14">
        <v>24</v>
      </c>
      <c r="B25" s="15" t="s">
        <v>76</v>
      </c>
      <c r="C25" s="16" t="s">
        <v>144</v>
      </c>
      <c r="D25" s="16" t="s">
        <v>145</v>
      </c>
      <c r="E25" s="17" t="s">
        <v>146</v>
      </c>
    </row>
    <row r="26" spans="1:5">
      <c r="A26" s="14">
        <v>25</v>
      </c>
      <c r="B26" s="15" t="s">
        <v>76</v>
      </c>
      <c r="C26" s="16" t="s">
        <v>330</v>
      </c>
      <c r="D26" s="18" t="s">
        <v>147</v>
      </c>
      <c r="E26" s="18" t="s">
        <v>148</v>
      </c>
    </row>
    <row r="27" spans="1:5">
      <c r="A27" s="14">
        <v>26</v>
      </c>
      <c r="B27" s="15" t="s">
        <v>76</v>
      </c>
      <c r="C27" s="16" t="s">
        <v>149</v>
      </c>
      <c r="D27" s="16" t="s">
        <v>150</v>
      </c>
      <c r="E27" s="17" t="s">
        <v>151</v>
      </c>
    </row>
    <row r="28" spans="1:5">
      <c r="A28" s="14">
        <v>27</v>
      </c>
      <c r="B28" s="15" t="s">
        <v>76</v>
      </c>
      <c r="C28" s="16" t="s">
        <v>152</v>
      </c>
      <c r="D28" s="16" t="s">
        <v>153</v>
      </c>
      <c r="E28" s="17" t="s">
        <v>154</v>
      </c>
    </row>
    <row r="29" spans="1:5">
      <c r="A29" s="14">
        <v>28</v>
      </c>
      <c r="B29" s="15" t="s">
        <v>76</v>
      </c>
      <c r="C29" s="16" t="s">
        <v>155</v>
      </c>
      <c r="D29" s="16" t="s">
        <v>156</v>
      </c>
      <c r="E29" s="17" t="s">
        <v>157</v>
      </c>
    </row>
    <row r="30" spans="1:5">
      <c r="A30" s="14">
        <v>29</v>
      </c>
      <c r="B30" s="15" t="s">
        <v>76</v>
      </c>
      <c r="C30" s="16" t="s">
        <v>158</v>
      </c>
      <c r="D30" s="18" t="s">
        <v>159</v>
      </c>
      <c r="E30" s="18" t="s">
        <v>160</v>
      </c>
    </row>
    <row r="31" spans="1:5">
      <c r="A31" s="14">
        <v>30</v>
      </c>
      <c r="B31" s="15" t="s">
        <v>76</v>
      </c>
      <c r="C31" s="16" t="s">
        <v>161</v>
      </c>
      <c r="D31" s="16" t="s">
        <v>162</v>
      </c>
      <c r="E31" s="17" t="s">
        <v>163</v>
      </c>
    </row>
    <row r="32" spans="1:5">
      <c r="A32" s="14">
        <v>31</v>
      </c>
      <c r="B32" s="15" t="s">
        <v>76</v>
      </c>
      <c r="C32" s="16" t="s">
        <v>164</v>
      </c>
      <c r="D32" s="16" t="s">
        <v>165</v>
      </c>
      <c r="E32" s="17" t="s">
        <v>166</v>
      </c>
    </row>
    <row r="33" spans="1:5">
      <c r="A33" s="14">
        <v>32</v>
      </c>
      <c r="B33" s="15" t="s">
        <v>76</v>
      </c>
      <c r="C33" s="16" t="s">
        <v>167</v>
      </c>
      <c r="D33" s="16" t="s">
        <v>139</v>
      </c>
      <c r="E33" s="17" t="s">
        <v>166</v>
      </c>
    </row>
    <row r="34" spans="1:5">
      <c r="A34" s="14">
        <v>33</v>
      </c>
      <c r="B34" s="15" t="s">
        <v>76</v>
      </c>
      <c r="C34" s="16" t="s">
        <v>331</v>
      </c>
      <c r="D34" s="16" t="s">
        <v>168</v>
      </c>
      <c r="E34" s="17" t="s">
        <v>169</v>
      </c>
    </row>
    <row r="35" spans="1:5">
      <c r="A35" s="14">
        <v>34</v>
      </c>
      <c r="B35" s="15" t="s">
        <v>76</v>
      </c>
      <c r="C35" s="16" t="s">
        <v>332</v>
      </c>
      <c r="D35" s="16" t="s">
        <v>170</v>
      </c>
      <c r="E35" s="17" t="s">
        <v>171</v>
      </c>
    </row>
    <row r="36" spans="1:5">
      <c r="A36" s="14">
        <v>35</v>
      </c>
      <c r="B36" s="15" t="s">
        <v>76</v>
      </c>
      <c r="C36" s="16" t="s">
        <v>333</v>
      </c>
      <c r="D36" s="16" t="s">
        <v>172</v>
      </c>
      <c r="E36" s="17" t="s">
        <v>173</v>
      </c>
    </row>
    <row r="37" spans="1:5">
      <c r="A37" s="14">
        <v>36</v>
      </c>
      <c r="B37" s="15" t="s">
        <v>76</v>
      </c>
      <c r="C37" s="16" t="s">
        <v>174</v>
      </c>
      <c r="D37" s="16" t="s">
        <v>175</v>
      </c>
      <c r="E37" s="17" t="s">
        <v>176</v>
      </c>
    </row>
    <row r="38" spans="1:5">
      <c r="A38" s="14">
        <v>37</v>
      </c>
      <c r="B38" s="15" t="s">
        <v>76</v>
      </c>
      <c r="C38" s="16" t="s">
        <v>334</v>
      </c>
      <c r="D38" s="16" t="s">
        <v>177</v>
      </c>
      <c r="E38" s="17" t="s">
        <v>178</v>
      </c>
    </row>
    <row r="39" spans="1:5">
      <c r="A39" s="14">
        <v>38</v>
      </c>
      <c r="B39" s="15" t="s">
        <v>76</v>
      </c>
      <c r="C39" s="16" t="s">
        <v>329</v>
      </c>
      <c r="D39" s="16" t="s">
        <v>179</v>
      </c>
      <c r="E39" s="17" t="s">
        <v>180</v>
      </c>
    </row>
    <row r="40" spans="1:5">
      <c r="A40" s="14">
        <v>39</v>
      </c>
      <c r="B40" s="15" t="s">
        <v>76</v>
      </c>
      <c r="C40" s="16" t="s">
        <v>181</v>
      </c>
      <c r="D40" s="16" t="s">
        <v>182</v>
      </c>
      <c r="E40" s="17" t="s">
        <v>183</v>
      </c>
    </row>
    <row r="41" spans="1:5">
      <c r="A41" s="14">
        <v>40</v>
      </c>
      <c r="B41" s="15" t="s">
        <v>76</v>
      </c>
      <c r="C41" s="20" t="s">
        <v>184</v>
      </c>
      <c r="D41" s="16" t="s">
        <v>185</v>
      </c>
      <c r="E41" s="17" t="s">
        <v>186</v>
      </c>
    </row>
    <row r="42" spans="1:5">
      <c r="A42" s="14">
        <v>41</v>
      </c>
      <c r="B42" s="15" t="s">
        <v>76</v>
      </c>
      <c r="C42" s="16" t="s">
        <v>187</v>
      </c>
      <c r="D42" s="18" t="s">
        <v>172</v>
      </c>
      <c r="E42" s="18" t="s">
        <v>188</v>
      </c>
    </row>
    <row r="43" spans="1:5">
      <c r="A43" s="14">
        <v>42</v>
      </c>
      <c r="B43" s="15" t="s">
        <v>76</v>
      </c>
      <c r="C43" s="16" t="s">
        <v>189</v>
      </c>
      <c r="D43" s="18" t="s">
        <v>190</v>
      </c>
      <c r="E43" s="18" t="s">
        <v>191</v>
      </c>
    </row>
    <row r="44" spans="1:5">
      <c r="A44" s="14">
        <v>43</v>
      </c>
      <c r="B44" s="15" t="s">
        <v>76</v>
      </c>
      <c r="C44" s="16" t="s">
        <v>327</v>
      </c>
      <c r="D44" s="16" t="s">
        <v>192</v>
      </c>
      <c r="E44" s="17" t="s">
        <v>193</v>
      </c>
    </row>
    <row r="45" spans="1:5">
      <c r="A45" s="14">
        <v>44</v>
      </c>
      <c r="B45" s="15" t="s">
        <v>76</v>
      </c>
      <c r="C45" s="16" t="s">
        <v>194</v>
      </c>
      <c r="D45" s="18" t="s">
        <v>195</v>
      </c>
      <c r="E45" s="18" t="s">
        <v>196</v>
      </c>
    </row>
    <row r="46" spans="1:5">
      <c r="A46" s="14">
        <v>45</v>
      </c>
      <c r="B46" s="15" t="s">
        <v>76</v>
      </c>
      <c r="C46" s="19" t="s">
        <v>328</v>
      </c>
      <c r="D46" s="16" t="s">
        <v>130</v>
      </c>
      <c r="E46" s="17" t="s">
        <v>197</v>
      </c>
    </row>
    <row r="47" spans="1:5">
      <c r="A47" s="14">
        <v>46</v>
      </c>
      <c r="B47" s="15" t="s">
        <v>76</v>
      </c>
      <c r="C47" s="16" t="s">
        <v>335</v>
      </c>
      <c r="D47" s="16" t="s">
        <v>198</v>
      </c>
      <c r="E47" s="17" t="s">
        <v>199</v>
      </c>
    </row>
    <row r="48" spans="1:5">
      <c r="A48" s="14">
        <v>47</v>
      </c>
      <c r="B48" s="15" t="s">
        <v>76</v>
      </c>
      <c r="C48" s="16" t="s">
        <v>200</v>
      </c>
      <c r="D48" s="16" t="s">
        <v>201</v>
      </c>
      <c r="E48" s="17" t="s">
        <v>202</v>
      </c>
    </row>
    <row r="49" spans="1:5">
      <c r="A49" s="14">
        <v>48</v>
      </c>
      <c r="B49" s="15" t="s">
        <v>76</v>
      </c>
      <c r="C49" s="16" t="s">
        <v>336</v>
      </c>
      <c r="D49" s="16" t="s">
        <v>156</v>
      </c>
      <c r="E49" s="17" t="s">
        <v>203</v>
      </c>
    </row>
    <row r="50" spans="1:5">
      <c r="A50" s="14">
        <v>49</v>
      </c>
      <c r="B50" s="15" t="s">
        <v>76</v>
      </c>
      <c r="C50" s="16" t="s">
        <v>204</v>
      </c>
      <c r="D50" s="18" t="s">
        <v>96</v>
      </c>
      <c r="E50" s="18" t="s">
        <v>205</v>
      </c>
    </row>
    <row r="51" spans="1:5">
      <c r="A51" s="14">
        <v>50</v>
      </c>
      <c r="B51" s="15" t="s">
        <v>76</v>
      </c>
      <c r="C51" s="16" t="s">
        <v>337</v>
      </c>
      <c r="D51" s="16" t="s">
        <v>206</v>
      </c>
      <c r="E51" s="17" t="s">
        <v>207</v>
      </c>
    </row>
    <row r="52" spans="1:5">
      <c r="A52" s="14">
        <v>51</v>
      </c>
      <c r="B52" s="15" t="s">
        <v>76</v>
      </c>
      <c r="C52" s="16" t="s">
        <v>338</v>
      </c>
      <c r="D52" s="16" t="s">
        <v>208</v>
      </c>
      <c r="E52" s="17" t="s">
        <v>207</v>
      </c>
    </row>
    <row r="53" spans="1:5">
      <c r="A53" s="14">
        <v>52</v>
      </c>
      <c r="B53" s="15" t="s">
        <v>76</v>
      </c>
      <c r="C53" s="16" t="s">
        <v>209</v>
      </c>
      <c r="D53" s="16" t="s">
        <v>210</v>
      </c>
      <c r="E53" s="17" t="s">
        <v>211</v>
      </c>
    </row>
    <row r="54" spans="1:5">
      <c r="A54" s="14">
        <v>53</v>
      </c>
      <c r="B54" s="15" t="s">
        <v>76</v>
      </c>
      <c r="C54" s="16" t="s">
        <v>326</v>
      </c>
      <c r="D54" s="16" t="s">
        <v>212</v>
      </c>
      <c r="E54" s="17" t="s">
        <v>213</v>
      </c>
    </row>
    <row r="55" spans="1:5">
      <c r="A55" s="14">
        <v>54</v>
      </c>
      <c r="B55" s="15" t="s">
        <v>76</v>
      </c>
      <c r="C55" s="16" t="s">
        <v>339</v>
      </c>
      <c r="D55" s="16" t="s">
        <v>214</v>
      </c>
      <c r="E55" s="17" t="s">
        <v>215</v>
      </c>
    </row>
    <row r="56" spans="1:5">
      <c r="A56" s="14">
        <v>55</v>
      </c>
      <c r="B56" s="15" t="s">
        <v>76</v>
      </c>
      <c r="C56" s="16" t="s">
        <v>216</v>
      </c>
      <c r="D56" s="18" t="s">
        <v>217</v>
      </c>
      <c r="E56" s="18" t="s">
        <v>218</v>
      </c>
    </row>
    <row r="57" spans="1:5">
      <c r="A57" s="14">
        <v>56</v>
      </c>
      <c r="B57" s="15" t="s">
        <v>76</v>
      </c>
      <c r="C57" s="16" t="s">
        <v>375</v>
      </c>
      <c r="D57" s="18" t="s">
        <v>219</v>
      </c>
      <c r="E57" s="18" t="s">
        <v>220</v>
      </c>
    </row>
    <row r="58" spans="1:5">
      <c r="A58" s="14">
        <v>57</v>
      </c>
      <c r="B58" s="15" t="s">
        <v>76</v>
      </c>
      <c r="C58" s="16" t="s">
        <v>340</v>
      </c>
      <c r="D58" s="16" t="s">
        <v>221</v>
      </c>
      <c r="E58" s="17" t="s">
        <v>222</v>
      </c>
    </row>
    <row r="59" spans="1:5">
      <c r="A59" s="14">
        <v>58</v>
      </c>
      <c r="B59" s="15" t="s">
        <v>76</v>
      </c>
      <c r="C59" s="16" t="s">
        <v>319</v>
      </c>
      <c r="D59" s="18" t="s">
        <v>223</v>
      </c>
      <c r="E59" s="18" t="s">
        <v>224</v>
      </c>
    </row>
    <row r="60" spans="1:5">
      <c r="A60" s="14">
        <v>59</v>
      </c>
      <c r="B60" s="15" t="s">
        <v>76</v>
      </c>
      <c r="C60" s="16" t="s">
        <v>225</v>
      </c>
      <c r="D60" s="16" t="s">
        <v>226</v>
      </c>
      <c r="E60" s="17" t="s">
        <v>227</v>
      </c>
    </row>
    <row r="61" spans="1:5">
      <c r="A61" s="14">
        <v>60</v>
      </c>
      <c r="B61" s="15" t="s">
        <v>76</v>
      </c>
      <c r="C61" s="16" t="s">
        <v>341</v>
      </c>
      <c r="D61" s="16" t="s">
        <v>228</v>
      </c>
      <c r="E61" s="17" t="s">
        <v>229</v>
      </c>
    </row>
    <row r="62" spans="1:5">
      <c r="A62" s="21">
        <v>61</v>
      </c>
      <c r="B62" s="18" t="s">
        <v>76</v>
      </c>
      <c r="C62" s="16" t="s">
        <v>342</v>
      </c>
      <c r="D62" s="16" t="s">
        <v>172</v>
      </c>
      <c r="E62" s="17" t="s">
        <v>230</v>
      </c>
    </row>
    <row r="63" spans="1:5">
      <c r="A63" s="14">
        <v>62</v>
      </c>
      <c r="B63" s="15" t="s">
        <v>76</v>
      </c>
      <c r="C63" s="16" t="s">
        <v>343</v>
      </c>
      <c r="D63" s="16" t="s">
        <v>231</v>
      </c>
      <c r="E63" s="17" t="s">
        <v>232</v>
      </c>
    </row>
    <row r="64" spans="1:5">
      <c r="A64" s="14">
        <v>63</v>
      </c>
      <c r="B64" s="15" t="s">
        <v>76</v>
      </c>
      <c r="C64" s="16" t="s">
        <v>233</v>
      </c>
      <c r="D64" s="16" t="s">
        <v>234</v>
      </c>
      <c r="E64" s="17" t="s">
        <v>235</v>
      </c>
    </row>
    <row r="65" spans="1:5">
      <c r="A65" s="14">
        <v>64</v>
      </c>
      <c r="B65" s="15" t="s">
        <v>76</v>
      </c>
      <c r="C65" s="16" t="s">
        <v>344</v>
      </c>
      <c r="D65" s="16" t="s">
        <v>81</v>
      </c>
      <c r="E65" s="17" t="s">
        <v>236</v>
      </c>
    </row>
    <row r="66" spans="1:5">
      <c r="A66" s="14">
        <v>65</v>
      </c>
      <c r="B66" s="15" t="s">
        <v>76</v>
      </c>
      <c r="C66" s="16" t="s">
        <v>325</v>
      </c>
      <c r="D66" s="16" t="s">
        <v>237</v>
      </c>
      <c r="E66" s="17" t="s">
        <v>238</v>
      </c>
    </row>
    <row r="67" spans="1:5">
      <c r="A67" s="14">
        <v>66</v>
      </c>
      <c r="B67" s="15" t="s">
        <v>76</v>
      </c>
      <c r="C67" s="16" t="s">
        <v>239</v>
      </c>
      <c r="D67" s="16" t="s">
        <v>240</v>
      </c>
      <c r="E67" s="17" t="s">
        <v>241</v>
      </c>
    </row>
    <row r="68" spans="1:5">
      <c r="A68" s="14">
        <v>67</v>
      </c>
      <c r="B68" s="15" t="s">
        <v>76</v>
      </c>
      <c r="C68" s="16" t="s">
        <v>345</v>
      </c>
      <c r="D68" s="16" t="s">
        <v>242</v>
      </c>
      <c r="E68" s="17" t="s">
        <v>243</v>
      </c>
    </row>
    <row r="69" spans="1:5">
      <c r="A69" s="14">
        <v>68</v>
      </c>
      <c r="B69" s="15" t="s">
        <v>76</v>
      </c>
      <c r="C69" s="16" t="s">
        <v>346</v>
      </c>
      <c r="D69" s="16" t="s">
        <v>244</v>
      </c>
      <c r="E69" s="17" t="s">
        <v>245</v>
      </c>
    </row>
    <row r="70" spans="1:5">
      <c r="A70" s="14">
        <v>69</v>
      </c>
      <c r="B70" s="15" t="s">
        <v>76</v>
      </c>
      <c r="C70" s="16" t="s">
        <v>246</v>
      </c>
      <c r="D70" s="18" t="s">
        <v>247</v>
      </c>
      <c r="E70" s="18" t="s">
        <v>248</v>
      </c>
    </row>
    <row r="71" spans="1:5">
      <c r="A71" s="14">
        <v>70</v>
      </c>
      <c r="B71" s="15" t="s">
        <v>76</v>
      </c>
      <c r="C71" s="16" t="s">
        <v>249</v>
      </c>
      <c r="D71" s="16" t="s">
        <v>250</v>
      </c>
      <c r="E71" s="17" t="s">
        <v>251</v>
      </c>
    </row>
    <row r="72" spans="1:5">
      <c r="A72" s="14">
        <v>71</v>
      </c>
      <c r="B72" s="15" t="s">
        <v>76</v>
      </c>
      <c r="C72" s="16" t="s">
        <v>252</v>
      </c>
      <c r="D72" s="18" t="s">
        <v>253</v>
      </c>
      <c r="E72" s="18" t="s">
        <v>254</v>
      </c>
    </row>
    <row r="73" spans="1:5">
      <c r="A73" s="14">
        <v>72</v>
      </c>
      <c r="B73" s="15" t="s">
        <v>76</v>
      </c>
      <c r="C73" s="16" t="s">
        <v>347</v>
      </c>
      <c r="D73" s="16" t="s">
        <v>255</v>
      </c>
      <c r="E73" s="17" t="s">
        <v>256</v>
      </c>
    </row>
    <row r="74" spans="1:5">
      <c r="A74" s="14">
        <v>73</v>
      </c>
      <c r="B74" s="15" t="s">
        <v>76</v>
      </c>
      <c r="C74" s="16" t="s">
        <v>257</v>
      </c>
      <c r="D74" s="16" t="s">
        <v>258</v>
      </c>
      <c r="E74" s="17" t="s">
        <v>259</v>
      </c>
    </row>
    <row r="75" spans="1:5">
      <c r="A75" s="14">
        <v>74</v>
      </c>
      <c r="B75" s="15" t="s">
        <v>76</v>
      </c>
      <c r="C75" s="16" t="s">
        <v>260</v>
      </c>
      <c r="D75" s="18" t="s">
        <v>111</v>
      </c>
      <c r="E75" s="18" t="s">
        <v>261</v>
      </c>
    </row>
    <row r="76" spans="1:5">
      <c r="A76" s="14">
        <v>75</v>
      </c>
      <c r="B76" s="15" t="s">
        <v>76</v>
      </c>
      <c r="C76" s="16" t="s">
        <v>262</v>
      </c>
      <c r="D76" s="18" t="s">
        <v>263</v>
      </c>
      <c r="E76" s="18" t="s">
        <v>264</v>
      </c>
    </row>
    <row r="77" spans="1:5">
      <c r="A77" s="14">
        <v>76</v>
      </c>
      <c r="B77" s="15" t="s">
        <v>76</v>
      </c>
      <c r="C77" s="16" t="s">
        <v>265</v>
      </c>
      <c r="D77" s="18" t="s">
        <v>266</v>
      </c>
      <c r="E77" s="18" t="s">
        <v>267</v>
      </c>
    </row>
    <row r="78" spans="1:5">
      <c r="A78" s="14">
        <v>77</v>
      </c>
      <c r="B78" s="15" t="s">
        <v>76</v>
      </c>
      <c r="C78" s="16" t="s">
        <v>268</v>
      </c>
      <c r="D78" s="18" t="s">
        <v>269</v>
      </c>
      <c r="E78" s="18" t="s">
        <v>270</v>
      </c>
    </row>
    <row r="79" spans="1:5">
      <c r="A79" s="14">
        <v>78</v>
      </c>
      <c r="B79" s="15" t="s">
        <v>76</v>
      </c>
      <c r="C79" s="16" t="s">
        <v>271</v>
      </c>
      <c r="D79" s="16" t="s">
        <v>250</v>
      </c>
      <c r="E79" s="17" t="s">
        <v>272</v>
      </c>
    </row>
    <row r="80" spans="1:5">
      <c r="A80" s="14">
        <v>79</v>
      </c>
      <c r="B80" s="15" t="s">
        <v>76</v>
      </c>
      <c r="C80" s="16" t="s">
        <v>273</v>
      </c>
      <c r="D80" s="18" t="s">
        <v>274</v>
      </c>
      <c r="E80" s="18" t="s">
        <v>275</v>
      </c>
    </row>
    <row r="81" spans="1:5">
      <c r="A81" s="14">
        <v>80</v>
      </c>
      <c r="B81" s="15" t="s">
        <v>76</v>
      </c>
      <c r="C81" s="16" t="s">
        <v>348</v>
      </c>
      <c r="D81" s="16" t="s">
        <v>276</v>
      </c>
      <c r="E81" s="17" t="s">
        <v>277</v>
      </c>
    </row>
    <row r="82" spans="1:5">
      <c r="A82" s="14">
        <v>81</v>
      </c>
      <c r="B82" s="15" t="s">
        <v>76</v>
      </c>
      <c r="C82" s="16" t="s">
        <v>349</v>
      </c>
      <c r="D82" s="16" t="s">
        <v>278</v>
      </c>
      <c r="E82" s="17" t="s">
        <v>279</v>
      </c>
    </row>
    <row r="83" spans="1:5">
      <c r="A83" s="14">
        <v>82</v>
      </c>
      <c r="B83" s="15" t="s">
        <v>76</v>
      </c>
      <c r="C83" s="16" t="s">
        <v>280</v>
      </c>
      <c r="D83" s="16" t="s">
        <v>281</v>
      </c>
      <c r="E83" s="17" t="s">
        <v>282</v>
      </c>
    </row>
    <row r="84" spans="1:5">
      <c r="A84" s="14">
        <v>83</v>
      </c>
      <c r="B84" s="15" t="s">
        <v>76</v>
      </c>
      <c r="C84" s="16" t="s">
        <v>350</v>
      </c>
      <c r="D84" s="16" t="s">
        <v>283</v>
      </c>
      <c r="E84" s="17" t="s">
        <v>282</v>
      </c>
    </row>
    <row r="85" spans="1:5">
      <c r="A85" s="14">
        <v>84</v>
      </c>
      <c r="B85" s="15" t="s">
        <v>76</v>
      </c>
      <c r="C85" s="16" t="s">
        <v>284</v>
      </c>
      <c r="D85" s="16" t="s">
        <v>285</v>
      </c>
      <c r="E85" s="17" t="s">
        <v>286</v>
      </c>
    </row>
    <row r="86" spans="1:5">
      <c r="A86" s="14">
        <v>85</v>
      </c>
      <c r="B86" s="15" t="s">
        <v>76</v>
      </c>
      <c r="C86" s="16" t="s">
        <v>287</v>
      </c>
      <c r="D86" s="16" t="s">
        <v>276</v>
      </c>
      <c r="E86" s="17" t="s">
        <v>288</v>
      </c>
    </row>
    <row r="87" spans="1:5">
      <c r="A87" s="14">
        <v>86</v>
      </c>
      <c r="B87" s="15" t="s">
        <v>76</v>
      </c>
      <c r="C87" s="16" t="s">
        <v>289</v>
      </c>
      <c r="D87" s="16" t="s">
        <v>290</v>
      </c>
      <c r="E87" s="17" t="s">
        <v>291</v>
      </c>
    </row>
    <row r="88" spans="1:5">
      <c r="A88" s="14">
        <v>87</v>
      </c>
      <c r="B88" s="15" t="s">
        <v>76</v>
      </c>
      <c r="C88" s="16" t="s">
        <v>292</v>
      </c>
      <c r="D88" s="16" t="s">
        <v>278</v>
      </c>
      <c r="E88" s="17" t="s">
        <v>293</v>
      </c>
    </row>
    <row r="89" spans="1:5">
      <c r="A89" s="14">
        <v>88</v>
      </c>
      <c r="B89" s="15" t="s">
        <v>76</v>
      </c>
      <c r="C89" s="16" t="s">
        <v>294</v>
      </c>
      <c r="D89" s="16" t="s">
        <v>96</v>
      </c>
      <c r="E89" s="17" t="s">
        <v>295</v>
      </c>
    </row>
    <row r="90" spans="1:5">
      <c r="A90" s="14">
        <v>89</v>
      </c>
      <c r="B90" s="15" t="s">
        <v>76</v>
      </c>
      <c r="C90" s="16" t="s">
        <v>296</v>
      </c>
      <c r="D90" s="16" t="s">
        <v>297</v>
      </c>
      <c r="E90" s="17" t="s">
        <v>298</v>
      </c>
    </row>
    <row r="91" spans="1:5">
      <c r="A91" s="14">
        <v>90</v>
      </c>
      <c r="B91" s="15" t="s">
        <v>76</v>
      </c>
      <c r="C91" s="16" t="s">
        <v>299</v>
      </c>
      <c r="D91" s="16" t="s">
        <v>300</v>
      </c>
      <c r="E91" s="17" t="s">
        <v>301</v>
      </c>
    </row>
    <row r="92" spans="1:5">
      <c r="A92" s="14">
        <v>91</v>
      </c>
      <c r="B92" s="15" t="s">
        <v>76</v>
      </c>
      <c r="C92" s="16" t="s">
        <v>302</v>
      </c>
      <c r="D92" s="16" t="s">
        <v>303</v>
      </c>
      <c r="E92" s="17" t="s">
        <v>304</v>
      </c>
    </row>
    <row r="93" spans="1:5">
      <c r="A93" s="14">
        <v>92</v>
      </c>
      <c r="B93" s="15" t="s">
        <v>76</v>
      </c>
      <c r="C93" s="16" t="s">
        <v>305</v>
      </c>
      <c r="D93" s="16" t="s">
        <v>182</v>
      </c>
      <c r="E93" s="17" t="s">
        <v>306</v>
      </c>
    </row>
    <row r="94" spans="1:5">
      <c r="A94" s="14">
        <v>93</v>
      </c>
      <c r="B94" s="15" t="s">
        <v>76</v>
      </c>
      <c r="C94" s="16" t="s">
        <v>307</v>
      </c>
      <c r="D94" s="18" t="s">
        <v>308</v>
      </c>
      <c r="E94" s="18" t="s">
        <v>309</v>
      </c>
    </row>
    <row r="95" spans="1:5">
      <c r="A95" s="24">
        <v>94</v>
      </c>
      <c r="B95" s="15" t="s">
        <v>76</v>
      </c>
      <c r="C95" s="25" t="s">
        <v>320</v>
      </c>
      <c r="D95" s="23" t="s">
        <v>321</v>
      </c>
      <c r="E95" s="23" t="s">
        <v>322</v>
      </c>
    </row>
    <row r="96" spans="1:5">
      <c r="A96">
        <f>A95+1</f>
        <v>95</v>
      </c>
      <c r="B96" s="15" t="s">
        <v>76</v>
      </c>
      <c r="C96" s="26" t="s">
        <v>351</v>
      </c>
      <c r="D96" s="27" t="s">
        <v>96</v>
      </c>
      <c r="E96" s="27" t="s">
        <v>323</v>
      </c>
    </row>
    <row r="97" spans="1:5">
      <c r="A97">
        <f t="shared" ref="A97:A98" si="0">A96+1</f>
        <v>96</v>
      </c>
      <c r="B97" s="15" t="s">
        <v>76</v>
      </c>
      <c r="C97" s="22" t="s">
        <v>352</v>
      </c>
      <c r="D97" s="23" t="s">
        <v>182</v>
      </c>
      <c r="E97" s="23" t="s">
        <v>324</v>
      </c>
    </row>
    <row r="98" spans="1:5">
      <c r="A98">
        <f t="shared" si="0"/>
        <v>97</v>
      </c>
      <c r="B98" s="15" t="s">
        <v>76</v>
      </c>
      <c r="C98" s="22" t="s">
        <v>353</v>
      </c>
      <c r="D98" s="23" t="s">
        <v>317</v>
      </c>
      <c r="E98" s="23" t="s">
        <v>318</v>
      </c>
    </row>
    <row r="99" spans="1:5">
      <c r="A99">
        <v>98</v>
      </c>
      <c r="B99" s="15" t="s">
        <v>76</v>
      </c>
      <c r="C99" s="22" t="s">
        <v>382</v>
      </c>
      <c r="D99" s="23" t="s">
        <v>383</v>
      </c>
      <c r="E99" s="23" t="s">
        <v>384</v>
      </c>
    </row>
    <row r="100" spans="1:5">
      <c r="A100">
        <v>99</v>
      </c>
      <c r="B100" s="15" t="s">
        <v>76</v>
      </c>
      <c r="C100" s="22" t="s">
        <v>385</v>
      </c>
      <c r="D100" s="23" t="s">
        <v>386</v>
      </c>
      <c r="E100" s="23" t="s">
        <v>387</v>
      </c>
    </row>
    <row r="101" spans="1:5">
      <c r="A101">
        <v>100</v>
      </c>
      <c r="B101" s="15" t="s">
        <v>76</v>
      </c>
      <c r="C101" s="22" t="s">
        <v>388</v>
      </c>
      <c r="D101" s="23" t="s">
        <v>389</v>
      </c>
      <c r="E101" s="23" t="s">
        <v>390</v>
      </c>
    </row>
    <row r="102" spans="1:5">
      <c r="A102">
        <v>101</v>
      </c>
      <c r="B102" s="15" t="s">
        <v>76</v>
      </c>
      <c r="C102" s="22" t="s">
        <v>391</v>
      </c>
      <c r="D102" s="23" t="s">
        <v>392</v>
      </c>
      <c r="E102" s="23" t="s">
        <v>393</v>
      </c>
    </row>
  </sheetData>
  <autoFilter ref="A1:E98" xr:uid="{2B1CA8C7-05A5-DA44-B969-9E41B832BB96}"/>
  <hyperlinks>
    <hyperlink ref="C41" r:id="rId1" location="!" tooltip="Copiar RUT" display="https://app.clay.cl/moves/all/clp/67be238f0a446ac455f9fb131740514191735426 - !" xr:uid="{6663B4B4-EFE3-1D40-87F3-EEFD457C6A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Template_Calendario_CCS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Mora Arriagada</cp:lastModifiedBy>
  <dcterms:created xsi:type="dcterms:W3CDTF">2026-04-29T02:24:12Z</dcterms:created>
  <dcterms:modified xsi:type="dcterms:W3CDTF">2026-10-19T22:56:16Z</dcterms:modified>
</cp:coreProperties>
</file>